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c2e201af9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poules" sheetId="1" r:id="Rd80d76bd82294721"/>
    <x:sheet xmlns:r="http://schemas.openxmlformats.org/officeDocument/2006/relationships" name="Mode d’emploi" sheetId="2" r:id="Raf2bd21fd003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##########"/>
    <x:numFmt numFmtId="201" formatCode="0.00"/>
  </x:numFmts>
  <x:fonts count="5">
    <x:font>
      <x:sz val="11"/>
      <x:name val="Carlito"/>
    </x:font>
    <x:font>
      <x:sz val="11"/>
      <x:name val="Arial"/>
    </x:font>
    <x:font>
      <x:b/>
      <x:sz val="11"/>
      <x:color rgb="FF17212B"/>
      <x:name val="Arial"/>
    </x:font>
    <x:font>
      <x:b/>
      <x:sz val="11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DEFF1"/>
      </x:patternFill>
    </x:fill>
    <x:fill>
      <x:patternFill patternType="solid">
        <x:fgColor rgb="FFFFFBEA"/>
      </x:patternFill>
    </x:fill>
    <x:fill>
      <x:patternFill patternType="solid">
        <x:fgColor rgb="FFF2F4F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27566761c4f05" /><Relationship Type="http://schemas.openxmlformats.org/officeDocument/2006/relationships/theme" Target="/xl/theme/theme1.xml" Id="R4b23f6e0d78c402e" /><Relationship Type="http://schemas.openxmlformats.org/officeDocument/2006/relationships/sharedStrings" Target="/xl/sharedStrings.xml" Id="R95db3fe7ea924814" /><Relationship Type="http://schemas.openxmlformats.org/officeDocument/2006/relationships/worksheet" Target="/xl/worksheets/sheet1.xml" Id="Rd80d76bd82294721" /><Relationship Type="http://schemas.openxmlformats.org/officeDocument/2006/relationships/worksheet" Target="/xl/worksheets/sheet2.xml" Id="Raf2bd21fd0034aa6" /></Relationships>
</file>

<file path=xl/tables/table1.xml><?xml version="1.0" encoding="utf-8"?>
<x:table xmlns:x="http://schemas.openxmlformats.org/spreadsheetml/2006/main" id="1" name="AmpoulesPediDoses" displayName="AmpoulesPediDoses" ref="A1:L67" headerRowCount="1" totalsRowCount="0" totalsRowShown="0">
  <x:autoFilter ref="A1:L67"/>
  <x:tableColumns count="12">
    <x:tableColumn id="1" name="Identifiant"/>
    <x:tableColumn id="2" name="Médicament"/>
    <x:tableColumn id="3" name="Présentation"/>
    <x:tableColumn id="4" name="Volume (mL)"/>
    <x:tableColumn id="5" name="Quantité"/>
    <x:tableColumn id="6" name="Unité"/>
    <x:tableColumn id="7" name="Concentration déclarée"/>
    <x:tableColumn id="8" name="Concentration calculée"/>
    <x:tableColumn id="9" name="Expression"/>
    <x:tableColumn id="10" name="Statut"/>
    <x:tableColumn id="11" name="Commentaire"/>
    <x:tableColumn id="12" name="Source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ebf68c7c240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26.670000076293945" hidden="0" customWidth="1"/>
    <x:col min="3" max="3" width="27.219999313354492" hidden="0" customWidth="1"/>
    <x:col min="4" max="4" width="10.5600004196167" hidden="0" customWidth="1"/>
    <x:col min="5" max="5" width="10.5600004196167" hidden="0" customWidth="1"/>
    <x:col min="6" max="6" width="8" hidden="0" customWidth="1"/>
    <x:col min="7" max="7" width="13.109999656677246" hidden="0" customWidth="1"/>
    <x:col min="8" max="8" width="13.109999656677246" hidden="0" customWidth="1"/>
    <x:col min="9" max="9" width="27.219999313354492" hidden="0" customWidth="1"/>
    <x:col min="10" max="10" width="13.890000343322754" hidden="0" customWidth="1"/>
    <x:col min="11" max="11" width="43.33000183105469" hidden="0" customWidth="1"/>
    <x:col min="12" max="12" width="35.560001373291016" hidden="0" customWidth="1"/>
  </x:cols>
  <x:sheetData>
    <x:row r="1" ht="42" customHeight="1">
      <x:c r="A1" s="5" t="str">
        <x:v>Identifiant</x:v>
      </x:c>
      <x:c r="B1" s="5" t="str">
        <x:v>Médicament</x:v>
      </x:c>
      <x:c r="C1" s="5" t="str">
        <x:v>Présentation</x:v>
      </x:c>
      <x:c r="D1" s="5" t="str">
        <x:v>Volume (mL)</x:v>
      </x:c>
      <x:c r="E1" s="5" t="str">
        <x:v>Quantité</x:v>
      </x:c>
      <x:c r="F1" s="5" t="str">
        <x:v>Unité</x:v>
      </x:c>
      <x:c r="G1" s="5" t="str">
        <x:v>Concentration déclarée</x:v>
      </x:c>
      <x:c r="H1" s="5" t="str">
        <x:v>Concentration calculée</x:v>
      </x:c>
      <x:c r="I1" s="5" t="str">
        <x:v>Expression</x:v>
      </x:c>
      <x:c r="J1" s="5" t="str">
        <x:v>Statut</x:v>
      </x:c>
      <x:c r="K1" s="5" t="str">
        <x:v>Commentaire</x:v>
      </x:c>
      <x:c r="L1" s="5" t="str">
        <x:v>Source</x:v>
      </x:c>
    </x:row>
    <x:row r="2" ht="58" customHeight="1">
      <x:c r="A2" s="3" t="str">
        <x:v>adrenaline-iv</x:v>
      </x:c>
      <x:c r="B2" s="3" t="str">
        <x:v>Adrénaline IV</x:v>
      </x:c>
      <x:c r="C2" s="3" t="str">
        <x:v>Adrénaline</x:v>
      </x:c>
      <x:c r="D2" s="7" t="n">
        <x:v>1</x:v>
      </x:c>
      <x:c r="E2" s="7" t="n">
        <x:v>1</x:v>
      </x:c>
      <x:c r="F2" s="6" t="str">
        <x:v>mg</x:v>
      </x:c>
      <x:c r="G2" s="7"/>
      <x:c r="H2" s="9" t="n">
        <x:f>IF(AND(ISNUMBER(D2),D2&gt;0,ISNUMBER(E2),E2&gt;0),E2/D2,IF(ISNUMBER(G2),G2,""))</x:f>
        <x:v>1</x:v>
      </x:c>
      <x:c r="I2" s="3" t="str">
        <x:v>Adrénaline IV</x:v>
      </x:c>
      <x:c r="J2" s="3" t="str">
        <x:v>confirmé</x:v>
      </x:c>
      <x:c r="K2" s="3" t="str"/>
      <x:c r="L2" s="3" t="str">
        <x:v>Tableau Prescription / Ampoules et décisions locales de la conversation</x:v>
      </x:c>
    </x:row>
    <x:row r="3" ht="58" customHeight="1">
      <x:c r="A3" s="3" t="str">
        <x:v>adrenaline-im</x:v>
      </x:c>
      <x:c r="B3" s="3" t="str">
        <x:v>Adrénaline IM</x:v>
      </x:c>
      <x:c r="C3" s="3" t="str">
        <x:v>Adrénaline</x:v>
      </x:c>
      <x:c r="D3" s="7" t="n">
        <x:v>1</x:v>
      </x:c>
      <x:c r="E3" s="7" t="n">
        <x:v>1</x:v>
      </x:c>
      <x:c r="F3" s="6" t="str">
        <x:v>mg</x:v>
      </x:c>
      <x:c r="G3" s="7"/>
      <x:c r="H3" s="9" t="n">
        <x:f>IF(AND(ISNUMBER(D3),D3&gt;0,ISNUMBER(E3),E3&gt;0),E3/D3,IF(ISNUMBER(G3),G3,""))</x:f>
        <x:v>1</x:v>
      </x:c>
      <x:c r="I3" s="3" t="str">
        <x:v>Adrénaline IM</x:v>
      </x:c>
      <x:c r="J3" s="3" t="str">
        <x:v>confirmé</x:v>
      </x:c>
      <x:c r="K3" s="3" t="str"/>
      <x:c r="L3" s="3" t="str">
        <x:v>Tableau Prescription / Ampoules et décisions locales de la conversation</x:v>
      </x:c>
    </x:row>
    <x:row r="4" ht="58" customHeight="1">
      <x:c r="A4" s="3" t="str">
        <x:v>bicarbonate-acr</x:v>
      </x:c>
      <x:c r="B4" s="3" t="str">
        <x:v>Bicarbonate de sodium</x:v>
      </x:c>
      <x:c r="C4" s="3" t="str">
        <x:v>Bicarbonate</x:v>
      </x:c>
      <x:c r="D4" s="7" t="n">
        <x:v>10</x:v>
      </x:c>
      <x:c r="E4" s="7" t="n">
        <x:v>5</x:v>
      </x:c>
      <x:c r="F4" s="6" t="str">
        <x:v>mmol</x:v>
      </x:c>
      <x:c r="G4" s="7"/>
      <x:c r="H4" s="9" t="n">
        <x:f>IF(AND(ISNUMBER(D4),D4&gt;0,ISNUMBER(E4),E4&gt;0),E4/D4,IF(ISNUMBER(G4),G4,""))</x:f>
        <x:v>0.5</x:v>
      </x:c>
      <x:c r="I4" s="3" t="str">
        <x:v>Bicarbonate de sodium</x:v>
      </x:c>
      <x:c r="J4" s="3" t="str">
        <x:v>confirmé</x:v>
      </x:c>
      <x:c r="K4" s="3" t="str"/>
      <x:c r="L4" s="3" t="str">
        <x:v>Tableau Prescription / Ampoules et décisions locales de la conversation</x:v>
      </x:c>
    </x:row>
    <x:row r="5" ht="58" customHeight="1">
      <x:c r="A5" s="3" t="str">
        <x:v>calcium-chlorure</x:v>
      </x:c>
      <x:c r="B5" s="3" t="str">
        <x:v>Chlorure de calcium</x:v>
      </x:c>
      <x:c r="C5" s="3" t="str">
        <x:v>Chlorure de calcium</x:v>
      </x:c>
      <x:c r="D5" s="7" t="n">
        <x:v>10</x:v>
      </x:c>
      <x:c r="E5" s="7" t="n">
        <x:v>1000</x:v>
      </x:c>
      <x:c r="F5" s="6" t="str">
        <x:v>mg</x:v>
      </x:c>
      <x:c r="G5" s="7"/>
      <x:c r="H5" s="9" t="n">
        <x:f>IF(AND(ISNUMBER(D5),D5&gt;0,ISNUMBER(E5),E5&gt;0),E5/D5,IF(ISNUMBER(G5),G5,""))</x:f>
        <x:v>100</x:v>
      </x:c>
      <x:c r="I5" s="3" t="str">
        <x:v>chlorure de calcium</x:v>
      </x:c>
      <x:c r="J5" s="3" t="str">
        <x:v>confirmé</x:v>
      </x:c>
      <x:c r="K5" s="3" t="str"/>
      <x:c r="L5" s="3" t="str">
        <x:v>Tableau Prescription / Ampoules et décisions locales de la conversation</x:v>
      </x:c>
    </x:row>
    <x:row r="6" ht="58" customHeight="1">
      <x:c r="A6" s="3" t="str">
        <x:v>cardioversion</x:v>
      </x:c>
      <x:c r="B6" s="3" t="str">
        <x:v>Cardioversion</x:v>
      </x:c>
      <x:c r="C6" s="3" t="str">
        <x:v>Sans objet</x:v>
      </x:c>
      <x:c r="D6" s="7"/>
      <x:c r="E6" s="7"/>
      <x:c r="F6" s="6" t="str"/>
      <x:c r="G6" s="7"/>
      <x:c r="H6" s="9" t="str">
        <x:f>IF(AND(ISNUMBER(D6),D6&gt;0,ISNUMBER(E6),E6&gt;0),E6/D6,IF(ISNUMBER(G6),G6,""))</x:f>
      </x:c>
      <x:c r="I6" s="3" t="str">
        <x:v>Cardioversion</x:v>
      </x:c>
      <x:c r="J6" s="3" t="str">
        <x:v>sans objet</x:v>
      </x:c>
      <x:c r="K6" s="3" t="str"/>
      <x:c r="L6" s="3" t="str">
        <x:v>Tableau Prescription / Ampoules et décisions locales de la conversation</x:v>
      </x:c>
    </x:row>
    <x:row r="7" ht="58" customHeight="1">
      <x:c r="A7" s="3" t="str">
        <x:v>defibrillation</x:v>
      </x:c>
      <x:c r="B7" s="3" t="str">
        <x:v>Défibrillation</x:v>
      </x:c>
      <x:c r="C7" s="3" t="str">
        <x:v>Sans objet</x:v>
      </x:c>
      <x:c r="D7" s="7"/>
      <x:c r="E7" s="7"/>
      <x:c r="F7" s="6" t="str"/>
      <x:c r="G7" s="7"/>
      <x:c r="H7" s="9" t="str">
        <x:f>IF(AND(ISNUMBER(D7),D7&gt;0,ISNUMBER(E7),E7&gt;0),E7/D7,IF(ISNUMBER(G7),G7,""))</x:f>
      </x:c>
      <x:c r="I7" s="3" t="str">
        <x:v>Défibrillation</x:v>
      </x:c>
      <x:c r="J7" s="3" t="str">
        <x:v>sans objet</x:v>
      </x:c>
      <x:c r="K7" s="3" t="str"/>
      <x:c r="L7" s="3" t="str">
        <x:v>Tableau Prescription / Ampoules et décisions locales de la conversation</x:v>
      </x:c>
    </x:row>
    <x:row r="8" ht="58" customHeight="1">
      <x:c r="A8" s="3" t="str">
        <x:v>gentamicine</x:v>
      </x:c>
      <x:c r="B8" s="3" t="str">
        <x:v>Gentamicine</x:v>
      </x:c>
      <x:c r="C8" s="3" t="str">
        <x:v>Gentamicine</x:v>
      </x:c>
      <x:c r="D8" s="7" t="n">
        <x:v>2</x:v>
      </x:c>
      <x:c r="E8" s="7" t="n">
        <x:v>40</x:v>
      </x:c>
      <x:c r="F8" s="6" t="str">
        <x:v>mg</x:v>
      </x:c>
      <x:c r="G8" s="7"/>
      <x:c r="H8" s="9" t="n">
        <x:f>IF(AND(ISNUMBER(D8),D8&gt;0,ISNUMBER(E8),E8&gt;0),E8/D8,IF(ISNUMBER(G8),G8,""))</x:f>
        <x:v>20</x:v>
      </x:c>
      <x:c r="I8" s="3" t="str">
        <x:v>Gentamicine</x:v>
      </x:c>
      <x:c r="J8" s="3" t="str">
        <x:v>confirmé</x:v>
      </x:c>
      <x:c r="K8" s="3" t="str"/>
      <x:c r="L8" s="3" t="str">
        <x:v>Tableau Prescription / Ampoules et décisions locales de la conversation</x:v>
      </x:c>
    </x:row>
    <x:row r="9" ht="58" customHeight="1">
      <x:c r="A9" s="3" t="str">
        <x:v>amoxicilline</x:v>
      </x:c>
      <x:c r="B9" s="3" t="str">
        <x:v>Amoxicilline</x:v>
      </x:c>
      <x:c r="C9" s="3" t="str">
        <x:v>Poudre pour solution injectable</x:v>
      </x:c>
      <x:c r="D9" s="7"/>
      <x:c r="E9" s="7" t="n">
        <x:v>500</x:v>
      </x:c>
      <x:c r="F9" s="6" t="str">
        <x:v>mg</x:v>
      </x:c>
      <x:c r="G9" s="7"/>
      <x:c r="H9" s="9" t="str">
        <x:f>IF(AND(ISNUMBER(D9),D9&gt;0,ISNUMBER(E9),E9&gt;0),E9/D9,IF(ISNUMBER(G9),G9,""))</x:f>
      </x:c>
      <x:c r="I9" s="3" t="str">
        <x:v>Amoxicilline</x:v>
      </x:c>
      <x:c r="J9" s="3" t="str">
        <x:v>confirmé</x:v>
      </x:c>
      <x:c r="K9" s="3" t="str"/>
      <x:c r="L9" s="3" t="str">
        <x:v>Tableau Prescription / Ampoules et décisions locales de la conversation</x:v>
      </x:c>
    </x:row>
    <x:row r="10" ht="58" customHeight="1">
      <x:c r="A10" s="3" t="str">
        <x:v>amoxicilline-clavulanique</x:v>
      </x:c>
      <x:c r="B10" s="3" t="str">
        <x:v>Amoxicilline / acide clavulanique</x:v>
      </x:c>
      <x:c r="C10" s="3" t="str">
        <x:v>Poudre pour solution injectable 500 mg/50 mg</x:v>
      </x:c>
      <x:c r="D10" s="7"/>
      <x:c r="E10" s="7" t="n">
        <x:v>500</x:v>
      </x:c>
      <x:c r="F10" s="6" t="str">
        <x:v>mg</x:v>
      </x:c>
      <x:c r="G10" s="7"/>
      <x:c r="H10" s="9" t="str">
        <x:f>IF(AND(ISNUMBER(D10),D10&gt;0,ISNUMBER(E10),E10&gt;0),E10/D10,IF(ISNUMBER(G10),G10,""))</x:f>
      </x:c>
      <x:c r="I10" s="3" t="str">
        <x:v>amoxicilline (500 mg / 50 mg d’acide clavulanique)</x:v>
      </x:c>
      <x:c r="J10" s="3" t="str">
        <x:v>confirmé</x:v>
      </x:c>
      <x:c r="K10" s="3" t="str"/>
      <x:c r="L10" s="3" t="str">
        <x:v>Tableau Prescription / Ampoules et décisions locales de la conversation</x:v>
      </x:c>
    </x:row>
    <x:row r="11" ht="58" customHeight="1">
      <x:c r="A11" s="3" t="str">
        <x:v>cefotaxime</x:v>
      </x:c>
      <x:c r="B11" s="3" t="str">
        <x:v>Céfotaxime</x:v>
      </x:c>
      <x:c r="C11" s="3" t="str">
        <x:v>Poudre pour solution injectable</x:v>
      </x:c>
      <x:c r="D11" s="7"/>
      <x:c r="E11" s="7" t="n">
        <x:v>500</x:v>
      </x:c>
      <x:c r="F11" s="6" t="str">
        <x:v>mg</x:v>
      </x:c>
      <x:c r="G11" s="7"/>
      <x:c r="H11" s="9" t="str">
        <x:f>IF(AND(ISNUMBER(D11),D11&gt;0,ISNUMBER(E11),E11&gt;0),E11/D11,IF(ISNUMBER(G11),G11,""))</x:f>
      </x:c>
      <x:c r="I11" s="3" t="str">
        <x:v>Céfotaxime</x:v>
      </x:c>
      <x:c r="J11" s="3" t="str">
        <x:v>confirmé</x:v>
      </x:c>
      <x:c r="K11" s="3" t="str"/>
      <x:c r="L11" s="3" t="str">
        <x:v>Tableau Prescription / Ampoules et décisions locales de la conversation</x:v>
      </x:c>
    </x:row>
    <x:row r="12" ht="58" customHeight="1">
      <x:c r="A12" s="3" t="str">
        <x:v>ceftriaxone</x:v>
      </x:c>
      <x:c r="B12" s="3" t="str">
        <x:v>Ceftriaxone</x:v>
      </x:c>
      <x:c r="C12" s="3" t="str">
        <x:v>Poudre pour solution injectable</x:v>
      </x:c>
      <x:c r="D12" s="7"/>
      <x:c r="E12" s="7" t="n">
        <x:v>1</x:v>
      </x:c>
      <x:c r="F12" s="6" t="str">
        <x:v>g</x:v>
      </x:c>
      <x:c r="G12" s="7"/>
      <x:c r="H12" s="9" t="str">
        <x:f>IF(AND(ISNUMBER(D12),D12&gt;0,ISNUMBER(E12),E12&gt;0),E12/D12,IF(ISNUMBER(G12),G12,""))</x:f>
      </x:c>
      <x:c r="I12" s="3" t="str">
        <x:v>Ceftriaxone</x:v>
      </x:c>
      <x:c r="J12" s="3" t="str">
        <x:v>confirmé</x:v>
      </x:c>
      <x:c r="K12" s="3" t="str"/>
      <x:c r="L12" s="3" t="str">
        <x:v>Tableau Prescription / Ampoules et décisions locales de la conversation</x:v>
      </x:c>
    </x:row>
    <x:row r="13" ht="58" customHeight="1">
      <x:c r="A13" s="3" t="str">
        <x:v>amiodarone</x:v>
      </x:c>
      <x:c r="B13" s="3" t="str">
        <x:v>Amiodarone</x:v>
      </x:c>
      <x:c r="C13" s="3" t="str">
        <x:v>Cordarone</x:v>
      </x:c>
      <x:c r="D13" s="7" t="n">
        <x:v>3</x:v>
      </x:c>
      <x:c r="E13" s="7" t="n">
        <x:v>150</x:v>
      </x:c>
      <x:c r="F13" s="6" t="str">
        <x:v>mg</x:v>
      </x:c>
      <x:c r="G13" s="7"/>
      <x:c r="H13" s="9" t="n">
        <x:f>IF(AND(ISNUMBER(D13),D13&gt;0,ISNUMBER(E13),E13&gt;0),E13/D13,IF(ISNUMBER(G13),G13,""))</x:f>
        <x:v>50</x:v>
      </x:c>
      <x:c r="I13" s="3" t="str">
        <x:v>Amiodarone</x:v>
      </x:c>
      <x:c r="J13" s="3" t="str">
        <x:v>à confirmer</x:v>
      </x:c>
      <x:c r="K13" s="3" t="str"/>
      <x:c r="L13" s="3" t="str">
        <x:v>Tableau Prescription / Ampoules et décisions locales de la conversation</x:v>
      </x:c>
    </x:row>
    <x:row r="14" ht="58" customHeight="1">
      <x:c r="A14" s="3" t="str">
        <x:v>atropine</x:v>
      </x:c>
      <x:c r="B14" s="3" t="str">
        <x:v>Atropine</x:v>
      </x:c>
      <x:c r="C14" s="3" t="str">
        <x:v>Atropine</x:v>
      </x:c>
      <x:c r="D14" s="7" t="n">
        <x:v>1</x:v>
      </x:c>
      <x:c r="E14" s="7" t="n">
        <x:v>0.25</x:v>
      </x:c>
      <x:c r="F14" s="6" t="str">
        <x:v>mg</x:v>
      </x:c>
      <x:c r="G14" s="7"/>
      <x:c r="H14" s="9" t="n">
        <x:f>IF(AND(ISNUMBER(D14),D14&gt;0,ISNUMBER(E14),E14&gt;0),E14/D14,IF(ISNUMBER(G14),G14,""))</x:f>
        <x:v>0.25</x:v>
      </x:c>
      <x:c r="I14" s="3" t="str">
        <x:v>Atropine</x:v>
      </x:c>
      <x:c r="J14" s="3" t="str">
        <x:v>confirmé</x:v>
      </x:c>
      <x:c r="K14" s="3" t="str"/>
      <x:c r="L14" s="3" t="str">
        <x:v>Tableau Prescription / Ampoules et décisions locales de la conversation</x:v>
      </x:c>
    </x:row>
    <x:row r="15" ht="58" customHeight="1">
      <x:c r="A15" s="3" t="str">
        <x:v>hydrocortisone</x:v>
      </x:c>
      <x:c r="B15" s="3" t="str">
        <x:v>Hydrocortisone</x:v>
      </x:c>
      <x:c r="C15" s="3" t="str">
        <x:v>Hydrocort</x:v>
      </x:c>
      <x:c r="D15" s="7" t="n">
        <x:v>2</x:v>
      </x:c>
      <x:c r="E15" s="7" t="n">
        <x:v>100</x:v>
      </x:c>
      <x:c r="F15" s="6" t="str">
        <x:v>mg</x:v>
      </x:c>
      <x:c r="G15" s="7"/>
      <x:c r="H15" s="9" t="n">
        <x:f>IF(AND(ISNUMBER(D15),D15&gt;0,ISNUMBER(E15),E15&gt;0),E15/D15,IF(ISNUMBER(G15),G15,""))</x:f>
        <x:v>50</x:v>
      </x:c>
      <x:c r="I15" s="3" t="str">
        <x:v>Hydrocortisone</x:v>
      </x:c>
      <x:c r="J15" s="3" t="str">
        <x:v>à confirmer</x:v>
      </x:c>
      <x:c r="K15" s="3" t="str"/>
      <x:c r="L15" s="3" t="str">
        <x:v>Tableau Prescription / Ampoules et décisions locales de la conversation</x:v>
      </x:c>
    </x:row>
    <x:row r="16" ht="58" customHeight="1">
      <x:c r="A16" s="3" t="str">
        <x:v>magnesium</x:v>
      </x:c>
      <x:c r="B16" s="3" t="str">
        <x:v>Sulfate de magnésium</x:v>
      </x:c>
      <x:c r="C16" s="3" t="str">
        <x:v>Sulfate de magnésium 15 %</x:v>
      </x:c>
      <x:c r="D16" s="7" t="n">
        <x:v>10</x:v>
      </x:c>
      <x:c r="E16" s="7" t="n">
        <x:v>1.5</x:v>
      </x:c>
      <x:c r="F16" s="6" t="str">
        <x:v>g</x:v>
      </x:c>
      <x:c r="G16" s="7"/>
      <x:c r="H16" s="9" t="n">
        <x:f>IF(AND(ISNUMBER(D16),D16&gt;0,ISNUMBER(E16),E16&gt;0),E16/D16,IF(ISNUMBER(G16),G16,""))</x:f>
        <x:v>0.15</x:v>
      </x:c>
      <x:c r="I16" s="3" t="str">
        <x:v>sulfate de magnésium</x:v>
      </x:c>
      <x:c r="J16" s="3" t="str">
        <x:v>confirmé</x:v>
      </x:c>
      <x:c r="K16" s="3" t="str"/>
      <x:c r="L16" s="3" t="str">
        <x:v>https://base-donnees-publique.medicaments.gouv.fr/medicament/61106121/extrait</x:v>
      </x:c>
    </x:row>
    <x:row r="17" ht="58" customHeight="1">
      <x:c r="A17" s="3" t="str">
        <x:v>triphosadenine</x:v>
      </x:c>
      <x:c r="B17" s="3" t="str">
        <x:v>Triphosadénine — 1re dose</x:v>
      </x:c>
      <x:c r="C17" s="3" t="str">
        <x:v>Striadyne</x:v>
      </x:c>
      <x:c r="D17" s="7" t="n">
        <x:v>2</x:v>
      </x:c>
      <x:c r="E17" s="7" t="n">
        <x:v>20</x:v>
      </x:c>
      <x:c r="F17" s="6" t="str">
        <x:v>mg</x:v>
      </x:c>
      <x:c r="G17" s="7"/>
      <x:c r="H17" s="9" t="n">
        <x:f>IF(AND(ISNUMBER(D17),D17&gt;0,ISNUMBER(E17),E17&gt;0),E17/D17,IF(ISNUMBER(G17),G17,""))</x:f>
        <x:v>10</x:v>
      </x:c>
      <x:c r="I17" s="3" t="str">
        <x:v>Triphosadénine — 1re dose</x:v>
      </x:c>
      <x:c r="J17" s="3" t="str">
        <x:v>à confirmer</x:v>
      </x:c>
      <x:c r="K17" s="3" t="str"/>
      <x:c r="L17" s="3" t="str">
        <x:v>Tableau Prescription / Ampoules et décisions locales de la conversation</x:v>
      </x:c>
    </x:row>
    <x:row r="18" ht="58" customHeight="1">
      <x:c r="A18" s="3" t="str">
        <x:v>etomidate</x:v>
      </x:c>
      <x:c r="B18" s="3" t="str">
        <x:v>Étomidate</x:v>
      </x:c>
      <x:c r="C18" s="3" t="str">
        <x:v>Hypnomidate</x:v>
      </x:c>
      <x:c r="D18" s="7" t="n">
        <x:v>10</x:v>
      </x:c>
      <x:c r="E18" s="7" t="n">
        <x:v>20</x:v>
      </x:c>
      <x:c r="F18" s="6" t="str">
        <x:v>mg</x:v>
      </x:c>
      <x:c r="G18" s="7"/>
      <x:c r="H18" s="9" t="n">
        <x:f>IF(AND(ISNUMBER(D18),D18&gt;0,ISNUMBER(E18),E18&gt;0),E18/D18,IF(ISNUMBER(G18),G18,""))</x:f>
        <x:v>2</x:v>
      </x:c>
      <x:c r="I18" s="3" t="str">
        <x:v>Étomidate</x:v>
      </x:c>
      <x:c r="J18" s="3" t="str">
        <x:v>à confirmer</x:v>
      </x:c>
      <x:c r="K18" s="3" t="str"/>
      <x:c r="L18" s="3" t="str">
        <x:v>Tableau Prescription / Ampoules et décisions locales de la conversation</x:v>
      </x:c>
    </x:row>
    <x:row r="19" ht="58" customHeight="1">
      <x:c r="A19" s="3" t="str">
        <x:v>ketamine-analgesie</x:v>
      </x:c>
      <x:c r="B19" s="3" t="str">
        <x:v>Kétamine (analgésie)</x:v>
      </x:c>
      <x:c r="C19" s="3" t="str">
        <x:v>Ketamine</x:v>
      </x:c>
      <x:c r="D19" s="7" t="n">
        <x:v>5</x:v>
      </x:c>
      <x:c r="E19" s="7" t="n">
        <x:v>250</x:v>
      </x:c>
      <x:c r="F19" s="6" t="str">
        <x:v>mg</x:v>
      </x:c>
      <x:c r="G19" s="7"/>
      <x:c r="H19" s="9" t="n">
        <x:f>IF(AND(ISNUMBER(D19),D19&gt;0,ISNUMBER(E19),E19&gt;0),E19/D19,IF(ISNUMBER(G19),G19,""))</x:f>
        <x:v>50</x:v>
      </x:c>
      <x:c r="I19" s="3" t="str">
        <x:v>Kétamine (analgésie)</x:v>
      </x:c>
      <x:c r="J19" s="3" t="str">
        <x:v>à confirmer</x:v>
      </x:c>
      <x:c r="K19" s="3" t="str"/>
      <x:c r="L19" s="3" t="str">
        <x:v>Tableau Prescription / Ampoules et décisions locales de la conversation</x:v>
      </x:c>
    </x:row>
    <x:row r="20" ht="58" customHeight="1">
      <x:c r="A20" s="3" t="str">
        <x:v>ketamine-intubation</x:v>
      </x:c>
      <x:c r="B20" s="3" t="str">
        <x:v>Kétamine (intubation)</x:v>
      </x:c>
      <x:c r="C20" s="3" t="str">
        <x:v>Ketamine</x:v>
      </x:c>
      <x:c r="D20" s="7" t="n">
        <x:v>5</x:v>
      </x:c>
      <x:c r="E20" s="7" t="n">
        <x:v>250</x:v>
      </x:c>
      <x:c r="F20" s="6" t="str">
        <x:v>mg</x:v>
      </x:c>
      <x:c r="G20" s="7"/>
      <x:c r="H20" s="9" t="n">
        <x:f>IF(AND(ISNUMBER(D20),D20&gt;0,ISNUMBER(E20),E20&gt;0),E20/D20,IF(ISNUMBER(G20),G20,""))</x:f>
        <x:v>50</x:v>
      </x:c>
      <x:c r="I20" s="3" t="str">
        <x:v>Kétamine (intubation)</x:v>
      </x:c>
      <x:c r="J20" s="3" t="str">
        <x:v>à confirmer</x:v>
      </x:c>
      <x:c r="K20" s="3" t="str"/>
      <x:c r="L20" s="3" t="str">
        <x:v>Tableau Prescription / Ampoules et décisions locales de la conversation</x:v>
      </x:c>
    </x:row>
    <x:row r="21" ht="58" customHeight="1">
      <x:c r="A21" s="3" t="str">
        <x:v>midazolam-iv</x:v>
      </x:c>
      <x:c r="B21" s="3" t="str">
        <x:v>Midazolam</x:v>
      </x:c>
      <x:c r="C21" s="3" t="str">
        <x:v>Midazolam</x:v>
      </x:c>
      <x:c r="D21" s="7" t="n">
        <x:v>10</x:v>
      </x:c>
      <x:c r="E21" s="7" t="n">
        <x:v>50</x:v>
      </x:c>
      <x:c r="F21" s="6" t="str">
        <x:v>mg</x:v>
      </x:c>
      <x:c r="G21" s="7"/>
      <x:c r="H21" s="9" t="n">
        <x:f>IF(AND(ISNUMBER(D21),D21&gt;0,ISNUMBER(E21),E21&gt;0),E21/D21,IF(ISNUMBER(G21),G21,""))</x:f>
        <x:v>5</x:v>
      </x:c>
      <x:c r="I21" s="3" t="str">
        <x:v>Midazolam</x:v>
      </x:c>
      <x:c r="J21" s="3" t="str">
        <x:v>confirmé</x:v>
      </x:c>
      <x:c r="K21" s="3" t="str"/>
      <x:c r="L21" s="3" t="str">
        <x:v>Tableau Prescription / Ampoules et décisions locales de la conversation</x:v>
      </x:c>
    </x:row>
    <x:row r="22" ht="58" customHeight="1">
      <x:c r="A22" s="3" t="str">
        <x:v>morphine-dc</x:v>
      </x:c>
      <x:c r="B22" s="3" t="str">
        <x:v>Morphine (DC)</x:v>
      </x:c>
      <x:c r="C22" s="3" t="str">
        <x:v>Morphine</x:v>
      </x:c>
      <x:c r="D22" s="7" t="n">
        <x:v>10</x:v>
      </x:c>
      <x:c r="E22" s="7" t="n">
        <x:v>10</x:v>
      </x:c>
      <x:c r="F22" s="6" t="str">
        <x:v>mg</x:v>
      </x:c>
      <x:c r="G22" s="7"/>
      <x:c r="H22" s="9" t="n">
        <x:f>IF(AND(ISNUMBER(D22),D22&gt;0,ISNUMBER(E22),E22&gt;0),E22/D22,IF(ISNUMBER(G22),G22,""))</x:f>
        <x:v>1</x:v>
      </x:c>
      <x:c r="I22" s="3" t="str">
        <x:v>Morphine (DC)</x:v>
      </x:c>
      <x:c r="J22" s="3" t="str">
        <x:v>confirmé</x:v>
      </x:c>
      <x:c r="K22" s="3" t="str"/>
      <x:c r="L22" s="3" t="str">
        <x:v>Tableau Prescription / Ampoules et décisions locales de la conversation</x:v>
      </x:c>
    </x:row>
    <x:row r="23" ht="58" customHeight="1">
      <x:c r="A23" s="3" t="str">
        <x:v>morphine-titration</x:v>
      </x:c>
      <x:c r="B23" s="3" t="str">
        <x:v>Morphine (titration)</x:v>
      </x:c>
      <x:c r="C23" s="3" t="str">
        <x:v>Morphine</x:v>
      </x:c>
      <x:c r="D23" s="7" t="n">
        <x:v>10</x:v>
      </x:c>
      <x:c r="E23" s="7" t="n">
        <x:v>10</x:v>
      </x:c>
      <x:c r="F23" s="6" t="str">
        <x:v>mg</x:v>
      </x:c>
      <x:c r="G23" s="7"/>
      <x:c r="H23" s="9" t="n">
        <x:f>IF(AND(ISNUMBER(D23),D23&gt;0,ISNUMBER(E23),E23&gt;0),E23/D23,IF(ISNUMBER(G23),G23,""))</x:f>
        <x:v>1</x:v>
      </x:c>
      <x:c r="I23" s="3" t="str">
        <x:v>Morphine (titration)</x:v>
      </x:c>
      <x:c r="J23" s="3" t="str">
        <x:v>confirmé</x:v>
      </x:c>
      <x:c r="K23" s="3" t="str"/>
      <x:c r="L23" s="3" t="str">
        <x:v>Tableau Prescription / Ampoules et décisions locales de la conversation</x:v>
      </x:c>
    </x:row>
    <x:row r="24" ht="58" customHeight="1">
      <x:c r="A24" s="3" t="str">
        <x:v>propofol</x:v>
      </x:c>
      <x:c r="B24" s="3" t="str">
        <x:v>Propofol</x:v>
      </x:c>
      <x:c r="C24" s="3" t="str">
        <x:v>Propofol</x:v>
      </x:c>
      <x:c r="D24" s="7" t="n">
        <x:v>20</x:v>
      </x:c>
      <x:c r="E24" s="7" t="n">
        <x:v>200</x:v>
      </x:c>
      <x:c r="F24" s="6" t="str">
        <x:v>mg</x:v>
      </x:c>
      <x:c r="G24" s="7"/>
      <x:c r="H24" s="9" t="n">
        <x:f>IF(AND(ISNUMBER(D24),D24&gt;0,ISNUMBER(E24),E24&gt;0),E24/D24,IF(ISNUMBER(G24),G24,""))</x:f>
        <x:v>10</x:v>
      </x:c>
      <x:c r="I24" s="3" t="str">
        <x:v>Propofol</x:v>
      </x:c>
      <x:c r="J24" s="3" t="str">
        <x:v>confirmé</x:v>
      </x:c>
      <x:c r="K24" s="3" t="str"/>
      <x:c r="L24" s="3" t="str">
        <x:v>Tableau Prescription / Ampoules et décisions locales de la conversation</x:v>
      </x:c>
    </x:row>
    <x:row r="25" ht="58" customHeight="1">
      <x:c r="A25" s="3" t="str">
        <x:v>suxamethonium</x:v>
      </x:c>
      <x:c r="B25" s="3" t="str">
        <x:v>Suxaméthonium (Célocurine)</x:v>
      </x:c>
      <x:c r="C25" s="3" t="str">
        <x:v>Célocurine</x:v>
      </x:c>
      <x:c r="D25" s="7" t="n">
        <x:v>2</x:v>
      </x:c>
      <x:c r="E25" s="7" t="n">
        <x:v>100</x:v>
      </x:c>
      <x:c r="F25" s="6" t="str">
        <x:v>mg</x:v>
      </x:c>
      <x:c r="G25" s="7"/>
      <x:c r="H25" s="9" t="n">
        <x:f>IF(AND(ISNUMBER(D25),D25&gt;0,ISNUMBER(E25),E25&gt;0),E25/D25,IF(ISNUMBER(G25),G25,""))</x:f>
        <x:v>50</x:v>
      </x:c>
      <x:c r="I25" s="3" t="str">
        <x:v>Suxaméthonium (Célocurine)</x:v>
      </x:c>
      <x:c r="J25" s="3" t="str">
        <x:v>confirmé</x:v>
      </x:c>
      <x:c r="K25" s="3" t="str"/>
      <x:c r="L25" s="3" t="str">
        <x:v>Tableau Prescription / Ampoules et décisions locales de la conversation</x:v>
      </x:c>
    </x:row>
    <x:row r="26" ht="58" customHeight="1">
      <x:c r="A26" s="3" t="str">
        <x:v>atracurium-bolus</x:v>
      </x:c>
      <x:c r="B26" s="3" t="str">
        <x:v>Atracurium</x:v>
      </x:c>
      <x:c r="C26" s="3" t="str">
        <x:v>Atracurium</x:v>
      </x:c>
      <x:c r="D26" s="7" t="n">
        <x:v>5</x:v>
      </x:c>
      <x:c r="E26" s="7" t="n">
        <x:v>50</x:v>
      </x:c>
      <x:c r="F26" s="6" t="str">
        <x:v>mg</x:v>
      </x:c>
      <x:c r="G26" s="7"/>
      <x:c r="H26" s="9" t="n">
        <x:f>IF(AND(ISNUMBER(D26),D26&gt;0,ISNUMBER(E26),E26&gt;0),E26/D26,IF(ISNUMBER(G26),G26,""))</x:f>
        <x:v>10</x:v>
      </x:c>
      <x:c r="I26" s="3" t="str">
        <x:v>Atracurium</x:v>
      </x:c>
      <x:c r="J26" s="3" t="str">
        <x:v>à confirmer</x:v>
      </x:c>
      <x:c r="K26" s="3" t="str"/>
      <x:c r="L26" s="3" t="str">
        <x:v>Tableau Prescription / Ampoules et décisions locales de la conversation</x:v>
      </x:c>
    </x:row>
    <x:row r="27" ht="58" customHeight="1">
      <x:c r="A27" s="3" t="str">
        <x:v>clonazepam-bolus</x:v>
      </x:c>
      <x:c r="B27" s="3" t="str">
        <x:v>Clonazépam</x:v>
      </x:c>
      <x:c r="C27" s="3" t="str">
        <x:v>Clonazépam — ampoule seule</x:v>
      </x:c>
      <x:c r="D27" s="7" t="n">
        <x:v>1</x:v>
      </x:c>
      <x:c r="E27" s="7" t="n">
        <x:v>1</x:v>
      </x:c>
      <x:c r="F27" s="6" t="str">
        <x:v>mg</x:v>
      </x:c>
      <x:c r="G27" s="7"/>
      <x:c r="H27" s="9" t="n">
        <x:f>IF(AND(ISNUMBER(D27),D27&gt;0,ISNUMBER(E27),E27&gt;0),E27/D27,IF(ISNUMBER(G27),G27,""))</x:f>
        <x:v>1</x:v>
      </x:c>
      <x:c r="I27" s="3" t="str">
        <x:v>Clonazépam</x:v>
      </x:c>
      <x:c r="J27" s="3" t="str">
        <x:v>confirmé</x:v>
      </x:c>
      <x:c r="K27" s="3" t="str"/>
      <x:c r="L27" s="3" t="str">
        <x:v>Tableau Prescription / Ampoules et décisions locales de la conversation</x:v>
      </x:c>
    </x:row>
    <x:row r="28" ht="58" customHeight="1">
      <x:c r="A28" s="3" t="str">
        <x:v>midazolam-ij</x:v>
      </x:c>
      <x:c r="B28" s="3" t="str">
        <x:v>Midazolam (IJ)</x:v>
      </x:c>
      <x:c r="C28" s="3" t="str">
        <x:v>Midazolam</x:v>
      </x:c>
      <x:c r="D28" s="7" t="n">
        <x:v>10</x:v>
      </x:c>
      <x:c r="E28" s="7" t="n">
        <x:v>50</x:v>
      </x:c>
      <x:c r="F28" s="6" t="str">
        <x:v>mg</x:v>
      </x:c>
      <x:c r="G28" s="7"/>
      <x:c r="H28" s="9" t="n">
        <x:f>IF(AND(ISNUMBER(D28),D28&gt;0,ISNUMBER(E28),E28&gt;0),E28/D28,IF(ISNUMBER(G28),G28,""))</x:f>
        <x:v>5</x:v>
      </x:c>
      <x:c r="I28" s="3" t="str">
        <x:v>Midazolam (IJ)</x:v>
      </x:c>
      <x:c r="J28" s="3" t="str">
        <x:v>à confirmer</x:v>
      </x:c>
      <x:c r="K28" s="3" t="str">
        <x:v>Confirmer la forme adaptée à la voie intergingivojugale.</x:v>
      </x:c>
      <x:c r="L28" s="3" t="str">
        <x:v>Tableau Prescription / Ampoules et décisions locales de la conversation</x:v>
      </x:c>
    </x:row>
    <x:row r="29" ht="58" customHeight="1">
      <x:c r="A29" s="3" t="str">
        <x:v>diazepam-ir</x:v>
      </x:c>
      <x:c r="B29" s="3" t="str">
        <x:v>Diazépam (IR)</x:v>
      </x:c>
      <x:c r="C29" s="3" t="str">
        <x:v>Valium</x:v>
      </x:c>
      <x:c r="D29" s="7" t="n">
        <x:v>2</x:v>
      </x:c>
      <x:c r="E29" s="7" t="n">
        <x:v>10</x:v>
      </x:c>
      <x:c r="F29" s="6" t="str">
        <x:v>mg</x:v>
      </x:c>
      <x:c r="G29" s="7"/>
      <x:c r="H29" s="9" t="n">
        <x:f>IF(AND(ISNUMBER(D29),D29&gt;0,ISNUMBER(E29),E29&gt;0),E29/D29,IF(ISNUMBER(G29),G29,""))</x:f>
        <x:v>5</x:v>
      </x:c>
      <x:c r="I29" s="3" t="str">
        <x:v>Diazépam (IR)</x:v>
      </x:c>
      <x:c r="J29" s="3" t="str">
        <x:v>à confirmer</x:v>
      </x:c>
      <x:c r="K29" s="3" t="str"/>
      <x:c r="L29" s="3" t="str">
        <x:v>Tableau Prescription / Ampoules et décisions locales de la conversation</x:v>
      </x:c>
    </x:row>
    <x:row r="30" ht="58" customHeight="1">
      <x:c r="A30" s="3" t="str">
        <x:v>phenobarbital</x:v>
      </x:c>
      <x:c r="B30" s="3" t="str">
        <x:v>Phénobarbital</x:v>
      </x:c>
      <x:c r="C30" s="3" t="str">
        <x:v>Gardenal</x:v>
      </x:c>
      <x:c r="D30" s="7" t="n">
        <x:v>4</x:v>
      </x:c>
      <x:c r="E30" s="7" t="n">
        <x:v>200</x:v>
      </x:c>
      <x:c r="F30" s="6" t="str">
        <x:v>mg</x:v>
      </x:c>
      <x:c r="G30" s="7"/>
      <x:c r="H30" s="9" t="n">
        <x:f>IF(AND(ISNUMBER(D30),D30&gt;0,ISNUMBER(E30),E30&gt;0),E30/D30,IF(ISNUMBER(G30),G30,""))</x:f>
        <x:v>50</x:v>
      </x:c>
      <x:c r="I30" s="3" t="str">
        <x:v>Phénobarbital</x:v>
      </x:c>
      <x:c r="J30" s="3" t="str">
        <x:v>à confirmer</x:v>
      </x:c>
      <x:c r="K30" s="3" t="str"/>
      <x:c r="L30" s="3" t="str">
        <x:v>Tableau Prescription / Ampoules et décisions locales de la conversation</x:v>
      </x:c>
    </x:row>
    <x:row r="31" ht="58" customHeight="1">
      <x:c r="A31" s="3" t="str">
        <x:v>levetiracetam</x:v>
      </x:c>
      <x:c r="B31" s="3" t="str">
        <x:v>Lévétiracétam</x:v>
      </x:c>
      <x:c r="C31" s="3" t="str">
        <x:v>Keppra</x:v>
      </x:c>
      <x:c r="D31" s="7" t="n">
        <x:v>5</x:v>
      </x:c>
      <x:c r="E31" s="7" t="n">
        <x:v>500</x:v>
      </x:c>
      <x:c r="F31" s="6" t="str">
        <x:v>mg</x:v>
      </x:c>
      <x:c r="G31" s="7"/>
      <x:c r="H31" s="9" t="n">
        <x:f>IF(AND(ISNUMBER(D31),D31&gt;0,ISNUMBER(E31),E31&gt;0),E31/D31,IF(ISNUMBER(G31),G31,""))</x:f>
        <x:v>100</x:v>
      </x:c>
      <x:c r="I31" s="3" t="str">
        <x:v>Lévétiracétam</x:v>
      </x:c>
      <x:c r="J31" s="3" t="str">
        <x:v>confirmé</x:v>
      </x:c>
      <x:c r="K31" s="3" t="str"/>
      <x:c r="L31" s="3" t="str">
        <x:v>Tableau Prescription / Ampoules et décisions locales de la conversation</x:v>
      </x:c>
    </x:row>
    <x:row r="32" ht="58" customHeight="1">
      <x:c r="A32" s="3" t="str">
        <x:v>phenytoine</x:v>
      </x:c>
      <x:c r="B32" s="3" t="str">
        <x:v>Phénytoïne</x:v>
      </x:c>
      <x:c r="C32" s="3" t="str">
        <x:v>Dilantin</x:v>
      </x:c>
      <x:c r="D32" s="7" t="n">
        <x:v>5</x:v>
      </x:c>
      <x:c r="E32" s="7" t="n">
        <x:v>250</x:v>
      </x:c>
      <x:c r="F32" s="6" t="str">
        <x:v>mg</x:v>
      </x:c>
      <x:c r="G32" s="7"/>
      <x:c r="H32" s="9" t="n">
        <x:f>IF(AND(ISNUMBER(D32),D32&gt;0,ISNUMBER(E32),E32&gt;0),E32/D32,IF(ISNUMBER(G32),G32,""))</x:f>
        <x:v>50</x:v>
      </x:c>
      <x:c r="I32" s="3" t="str">
        <x:v>Phénytoïne</x:v>
      </x:c>
      <x:c r="J32" s="3" t="str">
        <x:v>à confirmer</x:v>
      </x:c>
      <x:c r="K32" s="3" t="str"/>
      <x:c r="L32" s="3" t="str">
        <x:v>Tableau Prescription / Ampoules et décisions locales de la conversation</x:v>
      </x:c>
    </x:row>
    <x:row r="33" ht="58" customHeight="1">
      <x:c r="A33" s="3" t="str">
        <x:v>ssh</x:v>
      </x:c>
      <x:c r="B33" s="3" t="str">
        <x:v>SSH 7,5 %</x:v>
      </x:c>
      <x:c r="C33" s="3" t="str">
        <x:v>Préparation pharmacie à 7,5 %</x:v>
      </x:c>
      <x:c r="D33" s="7"/>
      <x:c r="E33" s="7"/>
      <x:c r="F33" s="6" t="str">
        <x:v>g</x:v>
      </x:c>
      <x:c r="G33" s="7" t="n">
        <x:v>0.075</x:v>
      </x:c>
      <x:c r="H33" s="9" t="n">
        <x:f>IF(AND(ISNUMBER(D33),D33&gt;0,ISNUMBER(E33),E33&gt;0),E33/D33,IF(ISNUMBER(G33),G33,""))</x:f>
        <x:v>0.075</x:v>
      </x:c>
      <x:c r="I33" s="3" t="str">
        <x:v>chlorure de sodium</x:v>
      </x:c>
      <x:c r="J33" s="3" t="str">
        <x:v>confirmé</x:v>
      </x:c>
      <x:c r="K33" s="3" t="str"/>
      <x:c r="L33" s="3" t="str">
        <x:v>Tableau Prescription / Ampoules et décisions locales de la conversation</x:v>
      </x:c>
    </x:row>
    <x:row r="34" ht="58" customHeight="1">
      <x:c r="A34" s="3" t="str">
        <x:v>tranexamique-bolus</x:v>
      </x:c>
      <x:c r="B34" s="3" t="str">
        <x:v>Acide tranexamique</x:v>
      </x:c>
      <x:c r="C34" s="3" t="str">
        <x:v>Exacyl</x:v>
      </x:c>
      <x:c r="D34" s="7" t="n">
        <x:v>5</x:v>
      </x:c>
      <x:c r="E34" s="7" t="n">
        <x:v>0.5</x:v>
      </x:c>
      <x:c r="F34" s="6" t="str">
        <x:v>g</x:v>
      </x:c>
      <x:c r="G34" s="7"/>
      <x:c r="H34" s="9" t="n">
        <x:f>IF(AND(ISNUMBER(D34),D34&gt;0,ISNUMBER(E34),E34&gt;0),E34/D34,IF(ISNUMBER(G34),G34,""))</x:f>
        <x:v>0.1</x:v>
      </x:c>
      <x:c r="I34" s="3" t="str">
        <x:v>Acide tranexamique</x:v>
      </x:c>
      <x:c r="J34" s="3" t="str">
        <x:v>à confirmer</x:v>
      </x:c>
      <x:c r="K34" s="3" t="str"/>
      <x:c r="L34" s="3" t="str">
        <x:v>Tableau Prescription / Ampoules et décisions locales de la conversation</x:v>
      </x:c>
    </x:row>
    <x:row r="35" ht="58" customHeight="1">
      <x:c r="A35" s="3" t="str">
        <x:v>cafeine</x:v>
      </x:c>
      <x:c r="B35" s="3" t="str">
        <x:v>Caféine</x:v>
      </x:c>
      <x:c r="C35" s="3" t="str">
        <x:v>Citrate caféine</x:v>
      </x:c>
      <x:c r="D35" s="7"/>
      <x:c r="E35" s="7"/>
      <x:c r="F35" s="6" t="str">
        <x:v>mg</x:v>
      </x:c>
      <x:c r="G35" s="7" t="n">
        <x:v>25</x:v>
      </x:c>
      <x:c r="H35" s="9" t="n">
        <x:f>IF(AND(ISNUMBER(D35),D35&gt;0,ISNUMBER(E35),E35&gt;0),E35/D35,IF(ISNUMBER(G35),G35,""))</x:f>
        <x:v>25</x:v>
      </x:c>
      <x:c r="I35" s="3" t="str">
        <x:v>citrate de caféine</x:v>
      </x:c>
      <x:c r="J35" s="3" t="str">
        <x:v>confirmé</x:v>
      </x:c>
      <x:c r="K35" s="3" t="str"/>
      <x:c r="L35" s="3" t="str">
        <x:v>Tableau Prescription / Ampoules et décisions locales de la conversation</x:v>
      </x:c>
    </x:row>
    <x:row r="36" ht="58" customHeight="1">
      <x:c r="A36" s="3" t="str">
        <x:v>flumazenil</x:v>
      </x:c>
      <x:c r="B36" s="3" t="str">
        <x:v>Flumazénil</x:v>
      </x:c>
      <x:c r="C36" s="3" t="str">
        <x:v>Flumazenil</x:v>
      </x:c>
      <x:c r="D36" s="7" t="n">
        <x:v>10</x:v>
      </x:c>
      <x:c r="E36" s="7" t="n">
        <x:v>1</x:v>
      </x:c>
      <x:c r="F36" s="6" t="str">
        <x:v>mg</x:v>
      </x:c>
      <x:c r="G36" s="7"/>
      <x:c r="H36" s="9" t="n">
        <x:f>IF(AND(ISNUMBER(D36),D36&gt;0,ISNUMBER(E36),E36&gt;0),E36/D36,IF(ISNUMBER(G36),G36,""))</x:f>
        <x:v>0.1</x:v>
      </x:c>
      <x:c r="I36" s="3" t="str">
        <x:v>Flumazénil</x:v>
      </x:c>
      <x:c r="J36" s="3" t="str">
        <x:v>confirmé</x:v>
      </x:c>
      <x:c r="K36" s="3" t="str"/>
      <x:c r="L36" s="3" t="str">
        <x:v>Tableau Prescription / Ampoules et décisions locales de la conversation</x:v>
      </x:c>
    </x:row>
    <x:row r="37" ht="58" customHeight="1">
      <x:c r="A37" s="3" t="str">
        <x:v>sugammadex</x:v>
      </x:c>
      <x:c r="B37" s="3" t="str">
        <x:v>Sugammadex</x:v>
      </x:c>
      <x:c r="C37" s="3" t="str">
        <x:v>Bridion</x:v>
      </x:c>
      <x:c r="D37" s="7" t="n">
        <x:v>2</x:v>
      </x:c>
      <x:c r="E37" s="7" t="n">
        <x:v>200</x:v>
      </x:c>
      <x:c r="F37" s="6" t="str">
        <x:v>mg</x:v>
      </x:c>
      <x:c r="G37" s="7"/>
      <x:c r="H37" s="9" t="n">
        <x:f>IF(AND(ISNUMBER(D37),D37&gt;0,ISNUMBER(E37),E37&gt;0),E37/D37,IF(ISNUMBER(G37),G37,""))</x:f>
        <x:v>100</x:v>
      </x:c>
      <x:c r="I37" s="3" t="str">
        <x:v>Sugammadex</x:v>
      </x:c>
      <x:c r="J37" s="3" t="str">
        <x:v>confirmé</x:v>
      </x:c>
      <x:c r="K37" s="3" t="str"/>
      <x:c r="L37" s="3" t="str">
        <x:v>Tableau Prescription / Ampoules et décisions locales de la conversation</x:v>
      </x:c>
    </x:row>
    <x:row r="38" ht="58" customHeight="1">
      <x:c r="A38" s="3" t="str">
        <x:v>glucose10</x:v>
      </x:c>
      <x:c r="B38" s="3" t="str">
        <x:v>Glucose 10 %</x:v>
      </x:c>
      <x:c r="C38" s="3" t="str">
        <x:v>Solution de glucose à 10 %</x:v>
      </x:c>
      <x:c r="D38" s="7"/>
      <x:c r="E38" s="7"/>
      <x:c r="F38" s="6" t="str">
        <x:v>g</x:v>
      </x:c>
      <x:c r="G38" s="7" t="n">
        <x:v>0.1</x:v>
      </x:c>
      <x:c r="H38" s="9" t="n">
        <x:f>IF(AND(ISNUMBER(D38),D38&gt;0,ISNUMBER(E38),E38&gt;0),E38/D38,IF(ISNUMBER(G38),G38,""))</x:f>
        <x:v>0.1</x:v>
      </x:c>
      <x:c r="I38" s="3" t="str">
        <x:v>glucose</x:v>
      </x:c>
      <x:c r="J38" s="3" t="str">
        <x:v>confirmé</x:v>
      </x:c>
      <x:c r="K38" s="3" t="str"/>
      <x:c r="L38" s="3" t="str">
        <x:v>Tableau Prescription / Ampoules et décisions locales de la conversation</x:v>
      </x:c>
    </x:row>
    <x:row r="39" ht="58" customHeight="1">
      <x:c r="A39" s="3" t="str">
        <x:v>naloxone</x:v>
      </x:c>
      <x:c r="B39" s="3" t="str">
        <x:v>Naloxone</x:v>
      </x:c>
      <x:c r="C39" s="3" t="str">
        <x:v>Naloxone</x:v>
      </x:c>
      <x:c r="D39" s="7" t="n">
        <x:v>1</x:v>
      </x:c>
      <x:c r="E39" s="7" t="n">
        <x:v>0.4</x:v>
      </x:c>
      <x:c r="F39" s="6" t="str">
        <x:v>mg</x:v>
      </x:c>
      <x:c r="G39" s="7"/>
      <x:c r="H39" s="9" t="n">
        <x:f>IF(AND(ISNUMBER(D39),D39&gt;0,ISNUMBER(E39),E39&gt;0),E39/D39,IF(ISNUMBER(G39),G39,""))</x:f>
        <x:v>0.4</x:v>
      </x:c>
      <x:c r="I39" s="3" t="str">
        <x:v>Naloxone</x:v>
      </x:c>
      <x:c r="J39" s="3" t="str">
        <x:v>confirmé</x:v>
      </x:c>
      <x:c r="K39" s="3" t="str"/>
      <x:c r="L39" s="3" t="str">
        <x:v>Tableau Prescription / Ampoules et décisions locales de la conversation</x:v>
      </x:c>
    </x:row>
    <x:row r="40" ht="58" customHeight="1">
      <x:c r="A40" s="3" t="str">
        <x:v>tranexamique-ivc</x:v>
      </x:c>
      <x:c r="B40" s="3" t="str">
        <x:v>Acide tranexamique (IVSE)</x:v>
      </x:c>
      <x:c r="C40" s="3" t="str">
        <x:v>Exacyl</x:v>
      </x:c>
      <x:c r="D40" s="7" t="n">
        <x:v>5</x:v>
      </x:c>
      <x:c r="E40" s="7" t="n">
        <x:v>500</x:v>
      </x:c>
      <x:c r="F40" s="6" t="str">
        <x:v>mg</x:v>
      </x:c>
      <x:c r="G40" s="7"/>
      <x:c r="H40" s="9" t="n">
        <x:f>IF(AND(ISNUMBER(D40),D40&gt;0,ISNUMBER(E40),E40&gt;0),E40/D40,IF(ISNUMBER(G40),G40,""))</x:f>
        <x:v>100</x:v>
      </x:c>
      <x:c r="I40" s="3" t="str">
        <x:v>Acide tranexamique</x:v>
      </x:c>
      <x:c r="J40" s="3" t="str">
        <x:v>à confirmer</x:v>
      </x:c>
      <x:c r="K40" s="3" t="str"/>
      <x:c r="L40" s="3" t="str">
        <x:v>Tableau Prescription / Ampoules et décisions locales de la conversation</x:v>
      </x:c>
    </x:row>
    <x:row r="41" ht="58" customHeight="1">
      <x:c r="A41" s="3" t="str">
        <x:v>adrenaline-ivc</x:v>
      </x:c>
      <x:c r="B41" s="3" t="str">
        <x:v>Adrénaline (IVSE)</x:v>
      </x:c>
      <x:c r="C41" s="3" t="str">
        <x:v>Adrénaline</x:v>
      </x:c>
      <x:c r="D41" s="7" t="n">
        <x:v>1</x:v>
      </x:c>
      <x:c r="E41" s="7" t="n">
        <x:v>1</x:v>
      </x:c>
      <x:c r="F41" s="6" t="str">
        <x:v>mg</x:v>
      </x:c>
      <x:c r="G41" s="7"/>
      <x:c r="H41" s="9" t="n">
        <x:f>IF(AND(ISNUMBER(D41),D41&gt;0,ISNUMBER(E41),E41&gt;0),E41/D41,IF(ISNUMBER(G41),G41,""))</x:f>
        <x:v>1</x:v>
      </x:c>
      <x:c r="I41" s="3" t="str">
        <x:v>Adrénaline</x:v>
      </x:c>
      <x:c r="J41" s="3" t="str">
        <x:v>confirmé</x:v>
      </x:c>
      <x:c r="K41" s="3" t="str"/>
      <x:c r="L41" s="3" t="str">
        <x:v>Tableau Prescription / Ampoules et décisions locales de la conversation</x:v>
      </x:c>
    </x:row>
    <x:row r="42" ht="58" customHeight="1">
      <x:c r="A42" s="3" t="str">
        <x:v>alprostadil</x:v>
      </x:c>
      <x:c r="B42" s="3" t="str">
        <x:v>Alprostadil (IVSE)</x:v>
      </x:c>
      <x:c r="C42" s="3" t="str">
        <x:v>Prostine</x:v>
      </x:c>
      <x:c r="D42" s="7" t="n">
        <x:v>1</x:v>
      </x:c>
      <x:c r="E42" s="7" t="n">
        <x:v>0.5</x:v>
      </x:c>
      <x:c r="F42" s="6" t="str">
        <x:v>mg</x:v>
      </x:c>
      <x:c r="G42" s="7"/>
      <x:c r="H42" s="9" t="n">
        <x:f>IF(AND(ISNUMBER(D42),D42&gt;0,ISNUMBER(E42),E42&gt;0),E42/D42,IF(ISNUMBER(G42),G42,""))</x:f>
        <x:v>0.5</x:v>
      </x:c>
      <x:c r="I42" s="3" t="str">
        <x:v>Alprostadil</x:v>
      </x:c>
      <x:c r="J42" s="3" t="str">
        <x:v>à confirmer</x:v>
      </x:c>
      <x:c r="K42" s="3" t="str"/>
      <x:c r="L42" s="3" t="str">
        <x:v>Tableau Prescription / Ampoules et décisions locales de la conversation</x:v>
      </x:c>
    </x:row>
    <x:row r="43" ht="58" customHeight="1">
      <x:c r="A43" s="3" t="str">
        <x:v>atracurium-ivc</x:v>
      </x:c>
      <x:c r="B43" s="3" t="str">
        <x:v>Atracurium (IVSE)</x:v>
      </x:c>
      <x:c r="C43" s="3" t="str">
        <x:v>Atracurium</x:v>
      </x:c>
      <x:c r="D43" s="7" t="n">
        <x:v>5</x:v>
      </x:c>
      <x:c r="E43" s="7" t="n">
        <x:v>50</x:v>
      </x:c>
      <x:c r="F43" s="6" t="str">
        <x:v>mg</x:v>
      </x:c>
      <x:c r="G43" s="7"/>
      <x:c r="H43" s="9" t="n">
        <x:f>IF(AND(ISNUMBER(D43),D43&gt;0,ISNUMBER(E43),E43&gt;0),E43/D43,IF(ISNUMBER(G43),G43,""))</x:f>
        <x:v>10</x:v>
      </x:c>
      <x:c r="I43" s="3" t="str">
        <x:v>Atracurium</x:v>
      </x:c>
      <x:c r="J43" s="3" t="str">
        <x:v>à confirmer</x:v>
      </x:c>
      <x:c r="K43" s="3" t="str">
        <x:v>Confirmer le conditionnement disponible ; la cible de préparation est 1 mg/mL.</x:v>
      </x:c>
      <x:c r="L43" s="3" t="str">
        <x:v>Tableau Prescription / Ampoules et décisions locales de la conversation</x:v>
      </x:c>
    </x:row>
    <x:row r="44" ht="58" customHeight="1">
      <x:c r="A44" s="3" t="str">
        <x:v>clonazepam-ivc</x:v>
      </x:c>
      <x:c r="B44" s="3" t="str">
        <x:v>Clonazépam (IVSE)</x:v>
      </x:c>
      <x:c r="C44" s="3" t="str">
        <x:v>Clonazépam — ampoule seule</x:v>
      </x:c>
      <x:c r="D44" s="7" t="n">
        <x:v>1</x:v>
      </x:c>
      <x:c r="E44" s="7" t="n">
        <x:v>1</x:v>
      </x:c>
      <x:c r="F44" s="6" t="str">
        <x:v>mg</x:v>
      </x:c>
      <x:c r="G44" s="7"/>
      <x:c r="H44" s="9" t="n">
        <x:f>IF(AND(ISNUMBER(D44),D44&gt;0,ISNUMBER(E44),E44&gt;0),E44/D44,IF(ISNUMBER(G44),G44,""))</x:f>
        <x:v>1</x:v>
      </x:c>
      <x:c r="I44" s="3" t="str">
        <x:v>Clonazépam</x:v>
      </x:c>
      <x:c r="J44" s="3" t="str">
        <x:v>confirmé</x:v>
      </x:c>
      <x:c r="K44" s="3" t="str"/>
      <x:c r="L44" s="3" t="str">
        <x:v>Tableau Prescription / Ampoules et décisions locales de la conversation</x:v>
      </x:c>
    </x:row>
    <x:row r="45" ht="58" customHeight="1">
      <x:c r="A45" s="3" t="str">
        <x:v>dobutamine</x:v>
      </x:c>
      <x:c r="B45" s="3" t="str">
        <x:v>Dobutamine (IVSE)</x:v>
      </x:c>
      <x:c r="C45" s="3" t="str">
        <x:v>Dobutamine</x:v>
      </x:c>
      <x:c r="D45" s="7" t="n">
        <x:v>20</x:v>
      </x:c>
      <x:c r="E45" s="7" t="n">
        <x:v>250</x:v>
      </x:c>
      <x:c r="F45" s="6" t="str">
        <x:v>mg</x:v>
      </x:c>
      <x:c r="G45" s="7"/>
      <x:c r="H45" s="9" t="n">
        <x:f>IF(AND(ISNUMBER(D45),D45&gt;0,ISNUMBER(E45),E45&gt;0),E45/D45,IF(ISNUMBER(G45),G45,""))</x:f>
        <x:v>12.5</x:v>
      </x:c>
      <x:c r="I45" s="3" t="str">
        <x:v>Dobutamine</x:v>
      </x:c>
      <x:c r="J45" s="3" t="str">
        <x:v>à confirmer</x:v>
      </x:c>
      <x:c r="K45" s="3" t="str"/>
      <x:c r="L45" s="3" t="str">
        <x:v>Tableau Prescription / Ampoules et décisions locales de la conversation</x:v>
      </x:c>
    </x:row>
    <x:row r="46" ht="58" customHeight="1">
      <x:c r="A46" s="3" t="str">
        <x:v>dopamine</x:v>
      </x:c>
      <x:c r="B46" s="3" t="str">
        <x:v>Dopamine (IVSE)</x:v>
      </x:c>
      <x:c r="C46" s="3" t="str">
        <x:v>Dopamine</x:v>
      </x:c>
      <x:c r="D46" s="7" t="n">
        <x:v>10</x:v>
      </x:c>
      <x:c r="E46" s="7" t="n">
        <x:v>50</x:v>
      </x:c>
      <x:c r="F46" s="6" t="str">
        <x:v>mg</x:v>
      </x:c>
      <x:c r="G46" s="7"/>
      <x:c r="H46" s="9" t="n">
        <x:f>IF(AND(ISNUMBER(D46),D46&gt;0,ISNUMBER(E46),E46&gt;0),E46/D46,IF(ISNUMBER(G46),G46,""))</x:f>
        <x:v>5</x:v>
      </x:c>
      <x:c r="I46" s="3" t="str">
        <x:v>Dopamine</x:v>
      </x:c>
      <x:c r="J46" s="3" t="str">
        <x:v>à confirmer</x:v>
      </x:c>
      <x:c r="K46" s="3" t="str"/>
      <x:c r="L46" s="3" t="str">
        <x:v>Tableau Prescription / Ampoules et décisions locales de la conversation</x:v>
      </x:c>
    </x:row>
    <x:row r="47" ht="58" customHeight="1">
      <x:c r="A47" s="3" t="str">
        <x:v>isoprenaline</x:v>
      </x:c>
      <x:c r="B47" s="3" t="str">
        <x:v>Isoprénaline (IVSE)</x:v>
      </x:c>
      <x:c r="C47" s="3" t="str">
        <x:v>Isuprel</x:v>
      </x:c>
      <x:c r="D47" s="7" t="n">
        <x:v>1</x:v>
      </x:c>
      <x:c r="E47" s="7" t="n">
        <x:v>0.2</x:v>
      </x:c>
      <x:c r="F47" s="6" t="str">
        <x:v>mg</x:v>
      </x:c>
      <x:c r="G47" s="7"/>
      <x:c r="H47" s="9" t="n">
        <x:f>IF(AND(ISNUMBER(D47),D47&gt;0,ISNUMBER(E47),E47&gt;0),E47/D47,IF(ISNUMBER(G47),G47,""))</x:f>
        <x:v>0.2</x:v>
      </x:c>
      <x:c r="I47" s="3" t="str">
        <x:v>Isoprénaline</x:v>
      </x:c>
      <x:c r="J47" s="3" t="str">
        <x:v>à confirmer</x:v>
      </x:c>
      <x:c r="K47" s="3" t="str"/>
      <x:c r="L47" s="3" t="str">
        <x:v>Tableau Prescription / Ampoules et décisions locales de la conversation</x:v>
      </x:c>
    </x:row>
    <x:row r="48" ht="58" customHeight="1">
      <x:c r="A48" s="3" t="str">
        <x:v>midazolam-ivc</x:v>
      </x:c>
      <x:c r="B48" s="3" t="str">
        <x:v>Midazolam (IVSE)</x:v>
      </x:c>
      <x:c r="C48" s="3" t="str">
        <x:v>Midazolam 5 mg/mL — deux volumes de contenant</x:v>
      </x:c>
      <x:c r="D48" s="7"/>
      <x:c r="E48" s="7"/>
      <x:c r="F48" s="6" t="str">
        <x:v>mg</x:v>
      </x:c>
      <x:c r="G48" s="7" t="n">
        <x:v>5</x:v>
      </x:c>
      <x:c r="H48" s="9" t="n">
        <x:f>IF(AND(ISNUMBER(D48),D48&gt;0,ISNUMBER(E48),E48&gt;0),E48/D48,IF(ISNUMBER(G48),G48,""))</x:f>
        <x:v>5</x:v>
      </x:c>
      <x:c r="I48" s="3" t="str">
        <x:v>Midazolam</x:v>
      </x:c>
      <x:c r="J48" s="3" t="str">
        <x:v>confirmé</x:v>
      </x:c>
      <x:c r="K48" s="3" t="str"/>
      <x:c r="L48" s="3" t="str">
        <x:v>Tableau Prescription / Ampoules et décisions locales de la conversation</x:v>
      </x:c>
    </x:row>
    <x:row r="49" ht="58" customHeight="1">
      <x:c r="A49" s="3" t="str">
        <x:v>morphine-ivc</x:v>
      </x:c>
      <x:c r="B49" s="3" t="str">
        <x:v>Morphine (IVSE)</x:v>
      </x:c>
      <x:c r="C49" s="3" t="str">
        <x:v>Morphine</x:v>
      </x:c>
      <x:c r="D49" s="7" t="n">
        <x:v>10</x:v>
      </x:c>
      <x:c r="E49" s="7" t="n">
        <x:v>10</x:v>
      </x:c>
      <x:c r="F49" s="6" t="str">
        <x:v>mg</x:v>
      </x:c>
      <x:c r="G49" s="7"/>
      <x:c r="H49" s="9" t="n">
        <x:f>IF(AND(ISNUMBER(D49),D49&gt;0,ISNUMBER(E49),E49&gt;0),E49/D49,IF(ISNUMBER(G49),G49,""))</x:f>
        <x:v>1</x:v>
      </x:c>
      <x:c r="I49" s="3" t="str">
        <x:v>Morphine</x:v>
      </x:c>
      <x:c r="J49" s="3" t="str">
        <x:v>confirmé</x:v>
      </x:c>
      <x:c r="K49" s="3" t="str"/>
      <x:c r="L49" s="3" t="str">
        <x:v>Tableau Prescription / Ampoules et décisions locales de la conversation</x:v>
      </x:c>
    </x:row>
    <x:row r="50" ht="58" customHeight="1">
      <x:c r="A50" s="3" t="str">
        <x:v>noradrenaline</x:v>
      </x:c>
      <x:c r="B50" s="3" t="str">
        <x:v>Noradrénaline (IVSE)</x:v>
      </x:c>
      <x:c r="C50" s="3" t="str">
        <x:v>Noradrénaline</x:v>
      </x:c>
      <x:c r="D50" s="7"/>
      <x:c r="E50" s="7"/>
      <x:c r="F50" s="6" t="str">
        <x:v>mg</x:v>
      </x:c>
      <x:c r="G50" s="7" t="n">
        <x:v>2</x:v>
      </x:c>
      <x:c r="H50" s="9" t="n">
        <x:f>IF(AND(ISNUMBER(D50),D50&gt;0,ISNUMBER(E50),E50&gt;0),E50/D50,IF(ISNUMBER(G50),G50,""))</x:f>
        <x:v>2</x:v>
      </x:c>
      <x:c r="I50" s="3" t="str">
        <x:v>Noradrénaline</x:v>
      </x:c>
      <x:c r="J50" s="3" t="str">
        <x:v>à confirmer</x:v>
      </x:c>
      <x:c r="K50" s="3" t="str"/>
      <x:c r="L50" s="3" t="str">
        <x:v>Tableau Prescription / Ampoules et décisions locales de la conversation</x:v>
      </x:c>
    </x:row>
    <x:row r="51" ht="58" customHeight="1">
      <x:c r="A51" s="3" t="str">
        <x:v>nicardipine</x:v>
      </x:c>
      <x:c r="B51" s="3" t="str">
        <x:v>Nicardipine — entretien (IVSE)</x:v>
      </x:c>
      <x:c r="C51" s="3" t="str">
        <x:v>Loxen</x:v>
      </x:c>
      <x:c r="D51" s="7" t="n">
        <x:v>10</x:v>
      </x:c>
      <x:c r="E51" s="7" t="n">
        <x:v>10</x:v>
      </x:c>
      <x:c r="F51" s="6" t="str">
        <x:v>mg</x:v>
      </x:c>
      <x:c r="G51" s="7"/>
      <x:c r="H51" s="9" t="n">
        <x:f>IF(AND(ISNUMBER(D51),D51&gt;0,ISNUMBER(E51),E51&gt;0),E51/D51,IF(ISNUMBER(G51),G51,""))</x:f>
        <x:v>1</x:v>
      </x:c>
      <x:c r="I51" s="3" t="str">
        <x:v>Nicardipine — entretien</x:v>
      </x:c>
      <x:c r="J51" s="3" t="str">
        <x:v>à confirmer</x:v>
      </x:c>
      <x:c r="K51" s="3" t="str"/>
      <x:c r="L51" s="3" t="str">
        <x:v>Tableau Prescription / Ampoules et décisions locales de la conversation</x:v>
      </x:c>
    </x:row>
    <x:row r="52" ht="58" customHeight="1">
      <x:c r="A52" s="3" t="str">
        <x:v>salbutamol-ivc</x:v>
      </x:c>
      <x:c r="B52" s="3" t="str">
        <x:v>Salbutamol (IVSE)</x:v>
      </x:c>
      <x:c r="C52" s="3" t="str">
        <x:v>Salbutamol</x:v>
      </x:c>
      <x:c r="D52" s="7" t="n">
        <x:v>5</x:v>
      </x:c>
      <x:c r="E52" s="7" t="n">
        <x:v>5</x:v>
      </x:c>
      <x:c r="F52" s="6" t="str">
        <x:v>mg</x:v>
      </x:c>
      <x:c r="G52" s="7"/>
      <x:c r="H52" s="9" t="n">
        <x:f>IF(AND(ISNUMBER(D52),D52&gt;0,ISNUMBER(E52),E52&gt;0),E52/D52,IF(ISNUMBER(G52),G52,""))</x:f>
        <x:v>1</x:v>
      </x:c>
      <x:c r="I52" s="3" t="str">
        <x:v>Salbutamol</x:v>
      </x:c>
      <x:c r="J52" s="3" t="str">
        <x:v>à confirmer</x:v>
      </x:c>
      <x:c r="K52" s="3" t="str"/>
      <x:c r="L52" s="3" t="str">
        <x:v>Tableau Prescription / Ampoules et décisions locales de la conversation</x:v>
      </x:c>
    </x:row>
    <x:row r="53" ht="58" customHeight="1">
      <x:c r="A53" s="3" t="str">
        <x:v>sufentanil</x:v>
      </x:c>
      <x:c r="B53" s="3" t="str">
        <x:v>Sufentanil (IVSE)</x:v>
      </x:c>
      <x:c r="C53" s="3" t="str">
        <x:v>Sufentanil</x:v>
      </x:c>
      <x:c r="D53" s="7" t="n">
        <x:v>10</x:v>
      </x:c>
      <x:c r="E53" s="7" t="n">
        <x:v>50</x:v>
      </x:c>
      <x:c r="F53" s="6" t="str">
        <x:v>mcg</x:v>
      </x:c>
      <x:c r="G53" s="7"/>
      <x:c r="H53" s="9" t="n">
        <x:f>IF(AND(ISNUMBER(D53),D53&gt;0,ISNUMBER(E53),E53&gt;0),E53/D53,IF(ISNUMBER(G53),G53,""))</x:f>
        <x:v>5</x:v>
      </x:c>
      <x:c r="I53" s="3" t="str">
        <x:v>Sufentanil</x:v>
      </x:c>
      <x:c r="J53" s="3" t="str">
        <x:v>confirmé</x:v>
      </x:c>
      <x:c r="K53" s="3" t="str"/>
      <x:c r="L53" s="3" t="str">
        <x:v>Tableau Prescription / Ampoules et décisions locales de la conversation</x:v>
      </x:c>
    </x:row>
    <x:row r="54" ht="58" customHeight="1">
      <x:c r="A54" s="3" t="str">
        <x:v>arret-potassium</x:v>
      </x:c>
      <x:c r="B54" s="3" t="str">
        <x:v>Arrêt des apports en potassium</x:v>
      </x:c>
      <x:c r="C54" s="3" t="str">
        <x:v>Sans objet</x:v>
      </x:c>
      <x:c r="D54" s="7"/>
      <x:c r="E54" s="7"/>
      <x:c r="F54" s="6" t="str"/>
      <x:c r="G54" s="7"/>
      <x:c r="H54" s="9" t="str">
        <x:f>IF(AND(ISNUMBER(D54),D54&gt;0,ISNUMBER(E54),E54&gt;0),E54/D54,IF(ISNUMBER(G54),G54,""))</x:f>
      </x:c>
      <x:c r="I54" s="3" t="str">
        <x:v>Arrêt des apports en potassium</x:v>
      </x:c>
      <x:c r="J54" s="3" t="str">
        <x:v>sans objet</x:v>
      </x:c>
      <x:c r="K54" s="3" t="str"/>
      <x:c r="L54" s="3" t="str">
        <x:v>Tableau Prescription / Ampoules et décisions locales de la conversation</x:v>
      </x:c>
    </x:row>
    <x:row r="55" ht="58" customHeight="1">
      <x:c r="A55" s="3" t="str">
        <x:v>bicarbonate-hyperk</x:v>
      </x:c>
      <x:c r="B55" s="3" t="str">
        <x:v>Bicarbonate si acidose</x:v>
      </x:c>
      <x:c r="C55" s="3" t="str">
        <x:v>Bicarbonate</x:v>
      </x:c>
      <x:c r="D55" s="7" t="n">
        <x:v>10</x:v>
      </x:c>
      <x:c r="E55" s="7" t="n">
        <x:v>5</x:v>
      </x:c>
      <x:c r="F55" s="6" t="str">
        <x:v>mmol</x:v>
      </x:c>
      <x:c r="G55" s="7"/>
      <x:c r="H55" s="9" t="n">
        <x:f>IF(AND(ISNUMBER(D55),D55&gt;0,ISNUMBER(E55),E55&gt;0),E55/D55,IF(ISNUMBER(G55),G55,""))</x:f>
        <x:v>0.5</x:v>
      </x:c>
      <x:c r="I55" s="3" t="str">
        <x:v>Bicarbonate si acidose</x:v>
      </x:c>
      <x:c r="J55" s="3" t="str">
        <x:v>confirmé</x:v>
      </x:c>
      <x:c r="K55" s="3" t="str"/>
      <x:c r="L55" s="3" t="str">
        <x:v>Tableau Prescription / Ampoules et décisions locales de la conversation</x:v>
      </x:c>
    </x:row>
    <x:row r="56" ht="58" customHeight="1">
      <x:c r="A56" s="3" t="str">
        <x:v>salbutamol-nebulise</x:v>
      </x:c>
      <x:c r="B56" s="3" t="str">
        <x:v>Salbutamol nébulisé</x:v>
      </x:c>
      <x:c r="C56" s="3" t="str">
        <x:v>Salbutamol</x:v>
      </x:c>
      <x:c r="D56" s="7" t="n">
        <x:v>2.5</x:v>
      </x:c>
      <x:c r="E56" s="7" t="n">
        <x:v>2.5</x:v>
      </x:c>
      <x:c r="F56" s="6" t="str">
        <x:v>mg</x:v>
      </x:c>
      <x:c r="G56" s="7"/>
      <x:c r="H56" s="9" t="n">
        <x:f>IF(AND(ISNUMBER(D56),D56&gt;0,ISNUMBER(E56),E56&gt;0),E56/D56,IF(ISNUMBER(G56),G56,""))</x:f>
        <x:v>1</x:v>
      </x:c>
      <x:c r="I56" s="3" t="str">
        <x:v>Salbutamol nébulisé</x:v>
      </x:c>
      <x:c r="J56" s="3" t="str">
        <x:v>à confirmer</x:v>
      </x:c>
      <x:c r="K56" s="3" t="str"/>
      <x:c r="L56" s="3" t="str">
        <x:v>Tableau Prescription / Ampoules et décisions locales de la conversation</x:v>
      </x:c>
    </x:row>
    <x:row r="57" ht="58" customHeight="1">
      <x:c r="A57" s="3" t="str">
        <x:v>calcium-gluconate</x:v>
      </x:c>
      <x:c r="B57" s="3" t="str">
        <x:v>Gluconate de calcium 10 %</x:v>
      </x:c>
      <x:c r="C57" s="3" t="str">
        <x:v>Gluconate de calcium 10 %</x:v>
      </x:c>
      <x:c r="D57" s="7" t="n">
        <x:v>10</x:v>
      </x:c>
      <x:c r="E57" s="7"/>
      <x:c r="F57" s="6" t="str">
        <x:v>g</x:v>
      </x:c>
      <x:c r="G57" s="7" t="n">
        <x:v>0.1</x:v>
      </x:c>
      <x:c r="H57" s="9" t="n">
        <x:f>IF(AND(ISNUMBER(D57),D57&gt;0,ISNUMBER(E57),E57&gt;0),E57/D57,IF(ISNUMBER(G57),G57,""))</x:f>
        <x:v>0.1</x:v>
      </x:c>
      <x:c r="I57" s="3" t="str">
        <x:v>concentration nominale à 10 % ; prescription en mL de solution</x:v>
      </x:c>
      <x:c r="J57" s="3" t="str">
        <x:v>confirmé</x:v>
      </x:c>
      <x:c r="K57" s="3" t="str"/>
      <x:c r="L57" s="3" t="str">
        <x:v>Tableau Prescription / Ampoules et décisions locales de la conversation</x:v>
      </x:c>
    </x:row>
    <x:row r="58" ht="58" customHeight="1">
      <x:c r="A58" s="3" t="str">
        <x:v>insuline-glucose</x:v>
      </x:c>
      <x:c r="B58" s="3" t="str">
        <x:v>Insuline rapide + G10 %</x:v>
      </x:c>
      <x:c r="C58" s="3" t="str">
        <x:v>Insuline rapide — concentration à renseigner</x:v>
      </x:c>
      <x:c r="D58" s="7"/>
      <x:c r="E58" s="7"/>
      <x:c r="F58" s="6" t="str">
        <x:v>UI</x:v>
      </x:c>
      <x:c r="G58" s="7"/>
      <x:c r="H58" s="9" t="str">
        <x:f>IF(AND(ISNUMBER(D58),D58&gt;0,ISNUMBER(E58),E58&gt;0),E58/D58,IF(ISNUMBER(G58),G58,""))</x:f>
      </x:c>
      <x:c r="I58" s="3" t="str">
        <x:v>insuline</x:v>
      </x:c>
      <x:c r="J58" s="3" t="str">
        <x:v>à confirmer</x:v>
      </x:c>
      <x:c r="K58" s="3" t="str">
        <x:v>G10 % : 5 mL/kg (max. 250 mL). Insuline : 0,1 UI/kg (max. 10 UI). Concentration d’insuline nécessaire pour son volume de prélèvement.</x:v>
      </x:c>
      <x:c r="L58" s="3" t="str">
        <x:v>Tableau Prescription / Ampoules et décisions locales de la conversation</x:v>
      </x:c>
    </x:row>
    <x:row r="59" ht="58" customHeight="1">
      <x:c r="A59" s="3" t="str">
        <x:v>resikali-ir</x:v>
      </x:c>
      <x:c r="B59" s="3" t="str">
        <x:v>Resikali (IR)</x:v>
      </x:c>
      <x:c r="C59" s="3" t="str">
        <x:v>Poudre, cuillère-mesure</x:v>
      </x:c>
      <x:c r="D59" s="7"/>
      <x:c r="E59" s="7" t="n">
        <x:v>20</x:v>
      </x:c>
      <x:c r="F59" s="6" t="str">
        <x:v>g</x:v>
      </x:c>
      <x:c r="G59" s="7"/>
      <x:c r="H59" s="9" t="str">
        <x:f>IF(AND(ISNUMBER(D59),D59&gt;0,ISNUMBER(E59),E59&gt;0),E59/D59,IF(ISNUMBER(G59),G59,""))</x:f>
      </x:c>
      <x:c r="I59" s="3" t="str">
        <x:v>Resikali (IR)</x:v>
      </x:c>
      <x:c r="J59" s="3" t="str">
        <x:v>à confirmer</x:v>
      </x:c>
      <x:c r="K59" s="3" t="str"/>
      <x:c r="L59" s="3" t="str">
        <x:v>Tableau Prescription / Ampoules et décisions locales de la conversation</x:v>
      </x:c>
    </x:row>
    <x:row r="60" ht="58" customHeight="1">
      <x:c r="A60" s="3" t="str">
        <x:v>kayexalate-ir</x:v>
      </x:c>
      <x:c r="B60" s="3" t="str">
        <x:v>Kayexalate (IR)</x:v>
      </x:c>
      <x:c r="C60" s="3" t="str">
        <x:v>Poudre, cuillère-mesure</x:v>
      </x:c>
      <x:c r="D60" s="7"/>
      <x:c r="E60" s="7" t="n">
        <x:v>15</x:v>
      </x:c>
      <x:c r="F60" s="6" t="str">
        <x:v>g</x:v>
      </x:c>
      <x:c r="G60" s="7"/>
      <x:c r="H60" s="9" t="str">
        <x:f>IF(AND(ISNUMBER(D60),D60&gt;0,ISNUMBER(E60),E60&gt;0),E60/D60,IF(ISNUMBER(G60),G60,""))</x:f>
      </x:c>
      <x:c r="I60" s="3" t="str">
        <x:v>Kayexalate (IR)</x:v>
      </x:c>
      <x:c r="J60" s="3" t="str">
        <x:v>à confirmer</x:v>
      </x:c>
      <x:c r="K60" s="3" t="str"/>
      <x:c r="L60" s="3" t="str">
        <x:v>Tableau Prescription / Ampoules et décisions locales de la conversation</x:v>
      </x:c>
    </x:row>
    <x:row r="61" ht="58" customHeight="1">
      <x:c r="A61" s="3" t="str">
        <x:v>cgr</x:v>
      </x:c>
      <x:c r="B61" s="3" t="str">
        <x:v>CGR phénotypé</x:v>
      </x:c>
      <x:c r="C61" s="3" t="str">
        <x:v>Poche de CGR phénotypé</x:v>
      </x:c>
      <x:c r="D61" s="7"/>
      <x:c r="E61" s="7"/>
      <x:c r="F61" s="6" t="str"/>
      <x:c r="G61" s="7"/>
      <x:c r="H61" s="9" t="str">
        <x:f>IF(AND(ISNUMBER(D61),D61&gt;0,ISNUMBER(E61),E61&gt;0),E61/D61,IF(ISNUMBER(G61),G61,""))</x:f>
      </x:c>
      <x:c r="I61" s="3" t="str">
        <x:v>CGR phénotypé</x:v>
      </x:c>
      <x:c r="J61" s="3" t="str">
        <x:v>à confirmer</x:v>
      </x:c>
      <x:c r="K61" s="3" t="str"/>
      <x:c r="L61" s="3" t="str">
        <x:v>Tableau Prescription / Ampoules et décisions locales de la conversation</x:v>
      </x:c>
    </x:row>
    <x:row r="62" ht="58" customHeight="1">
      <x:c r="A62" s="3" t="str">
        <x:v>pfc</x:v>
      </x:c>
      <x:c r="B62" s="3" t="str">
        <x:v>PFC</x:v>
      </x:c>
      <x:c r="C62" s="3" t="str">
        <x:v>Poche de PFC</x:v>
      </x:c>
      <x:c r="D62" s="7"/>
      <x:c r="E62" s="7"/>
      <x:c r="F62" s="6" t="str"/>
      <x:c r="G62" s="7"/>
      <x:c r="H62" s="9" t="str">
        <x:f>IF(AND(ISNUMBER(D62),D62&gt;0,ISNUMBER(E62),E62&gt;0),E62/D62,IF(ISNUMBER(G62),G62,""))</x:f>
      </x:c>
      <x:c r="I62" s="3" t="str">
        <x:v>PFC</x:v>
      </x:c>
      <x:c r="J62" s="3" t="str">
        <x:v>à confirmer</x:v>
      </x:c>
      <x:c r="K62" s="3" t="str"/>
      <x:c r="L62" s="3" t="str">
        <x:v>Tableau Prescription / Ampoules et décisions locales de la conversation</x:v>
      </x:c>
    </x:row>
    <x:row r="63" ht="58" customHeight="1">
      <x:c r="A63" s="3" t="str">
        <x:v>cpa</x:v>
      </x:c>
      <x:c r="B63" s="3" t="str">
        <x:v>CPA</x:v>
      </x:c>
      <x:c r="C63" s="3" t="str">
        <x:v>Poche de CPA</x:v>
      </x:c>
      <x:c r="D63" s="7"/>
      <x:c r="E63" s="7"/>
      <x:c r="F63" s="6" t="str"/>
      <x:c r="G63" s="7"/>
      <x:c r="H63" s="9" t="str">
        <x:f>IF(AND(ISNUMBER(D63),D63&gt;0,ISNUMBER(E63),E63&gt;0),E63/D63,IF(ISNUMBER(G63),G63,""))</x:f>
      </x:c>
      <x:c r="I63" s="3" t="str">
        <x:v>CPA</x:v>
      </x:c>
      <x:c r="J63" s="3" t="str">
        <x:v>à confirmer</x:v>
      </x:c>
      <x:c r="K63" s="3" t="str"/>
      <x:c r="L63" s="3" t="str">
        <x:v>Tableau Prescription / Ampoules et décisions locales de la conversation</x:v>
      </x:c>
    </x:row>
    <x:row r="64" ht="58" customHeight="1">
      <x:c r="A64" s="10" t="str">
        <x:v>isofundine</x:v>
      </x:c>
      <x:c r="B64" s="10" t="str">
        <x:v>Isofundine</x:v>
      </x:c>
      <x:c r="C64" s="10" t="str">
        <x:v>Flacon de solution pour perfusion</x:v>
      </x:c>
      <x:c r="D64" s="11" t="n">
        <x:v>1000</x:v>
      </x:c>
      <x:c r="E64" s="11"/>
      <x:c r="F64" s="12" t="str"/>
      <x:c r="G64" s="11"/>
      <x:c r="H64" s="13" t="str">
        <x:f>IF(AND(ISNUMBER(D64),D64&gt;0,ISNUMBER(E64),E64&gt;0),E64/D64,IF(ISNUMBER(G64),G64,""))</x:f>
      </x:c>
      <x:c r="I64" s="10" t="str">
        <x:v>solution équilibrée prête à l’emploi</x:v>
      </x:c>
      <x:c r="J64" s="10" t="str">
        <x:v>confirmé</x:v>
      </x:c>
      <x:c r="K64" s="10" t="str"/>
      <x:c r="L64" s="10" t="str">
        <x:v>Tableau Prescription / Ampoules et décisions locales de la conversation</x:v>
      </x:c>
    </x:row>
    <x:row r="65" ht="58" customHeight="1">
      <x:c r="A65" s="18" t="str">
        <x:v>triphosadenine-2</x:v>
      </x:c>
      <x:c r="B65" s="18" t="str">
        <x:v>Triphosadénine — 2e dose</x:v>
      </x:c>
      <x:c r="C65" s="18" t="str">
        <x:v>Triphosadénine</x:v>
      </x:c>
      <x:c r="D65" s="21" t="n">
        <x:v>2</x:v>
      </x:c>
      <x:c r="E65" s="21" t="n">
        <x:v>20</x:v>
      </x:c>
      <x:c r="F65" s="19" t="str">
        <x:v>mg</x:v>
      </x:c>
      <x:c r="G65" s="21"/>
      <x:c r="H65" s="22" t="n">
        <x:f>IF(AND(ISNUMBER(D65),D65&gt;0,ISNUMBER(E65),E65&gt;0),E65/D65,IF(ISNUMBER(G65),G65,""))</x:f>
        <x:v>10</x:v>
      </x:c>
      <x:c r="I65" s="18" t="str">
        <x:v>Triphosadénine — 2e dose</x:v>
      </x:c>
      <x:c r="J65" s="18" t="str">
        <x:v>à confirmer</x:v>
      </x:c>
      <x:c r="K65" s="18" t="str"/>
      <x:c r="L65" s="18" t="str">
        <x:v>Tableau Prescription / Ampoules et décisions locales de la conversation</x:v>
      </x:c>
    </x:row>
    <x:row r="66" ht="58" customHeight="1">
      <x:c r="A66" s="18" t="str">
        <x:v>propofol-lisa</x:v>
      </x:c>
      <x:c r="B66" s="18" t="str">
        <x:v>Propofol LISA</x:v>
      </x:c>
      <x:c r="C66" s="18" t="str">
        <x:v>Propofol</x:v>
      </x:c>
      <x:c r="D66" s="21" t="n">
        <x:v>20</x:v>
      </x:c>
      <x:c r="E66" s="21" t="n">
        <x:v>200</x:v>
      </x:c>
      <x:c r="F66" s="19" t="str">
        <x:v>mg</x:v>
      </x:c>
      <x:c r="G66" s="21"/>
      <x:c r="H66" s="22" t="n">
        <x:f>IF(AND(ISNUMBER(D66),D66&gt;0,ISNUMBER(E66),E66&gt;0),E66/D66,IF(ISNUMBER(G66),G66,""))</x:f>
        <x:v>10</x:v>
      </x:c>
      <x:c r="I66" s="18" t="str">
        <x:v>Propofol LISA</x:v>
      </x:c>
      <x:c r="J66" s="18" t="str">
        <x:v>confirmé</x:v>
      </x:c>
      <x:c r="K66" s="18" t="str"/>
      <x:c r="L66" s="18" t="str">
        <x:v>Tableau Prescription / Ampoules et décisions locales de la conversation</x:v>
      </x:c>
    </x:row>
    <x:row r="67" ht="58" customHeight="1">
      <x:c r="A67" s="18" t="str">
        <x:v>nicardipine-charge</x:v>
      </x:c>
      <x:c r="B67" s="18" t="str">
        <x:v>Nicardipine — dose de charge (IVSE)</x:v>
      </x:c>
      <x:c r="C67" s="18" t="str">
        <x:v>Nicardipine</x:v>
      </x:c>
      <x:c r="D67" s="21" t="n">
        <x:v>10</x:v>
      </x:c>
      <x:c r="E67" s="21" t="n">
        <x:v>10</x:v>
      </x:c>
      <x:c r="F67" s="19" t="str">
        <x:v>mg</x:v>
      </x:c>
      <x:c r="G67" s="21"/>
      <x:c r="H67" s="22" t="n">
        <x:f>IF(AND(ISNUMBER(D67),D67&gt;0,ISNUMBER(E67),E67&gt;0),E67/D67,IF(ISNUMBER(G67),G67,""))</x:f>
        <x:v>1</x:v>
      </x:c>
      <x:c r="I67" s="18" t="str">
        <x:v>Nicardipine — dose de charge</x:v>
      </x:c>
      <x:c r="J67" s="18" t="str">
        <x:v>à confirmer</x:v>
      </x:c>
      <x:c r="K67" s="18" t="str"/>
      <x:c r="L67" s="18" t="str">
        <x:v>Tableau Prescription / Ampoules et décisions locales de la conversation</x:v>
      </x:c>
    </x:row>
  </x:sheetData>
  <x:conditionalFormatting sqref="J2:J64">
    <x:cfRule type="containsText" dxfId="0" priority="1" operator="containsText" text="à confirmer"/>
  </x:conditionalFormatting>
  <x:dataValidations count="4">
    <x:dataValidation type="list" sqref="J2:J64">
      <x:formula1>"confirmé,à confirmer,sans objet"</x:formula1>
    </x:dataValidation>
    <x:dataValidation type="list" sqref="F2:F64">
      <x:formula1>"g,mg,mcg,ng,mmol,UI"</x:formula1>
    </x:dataValidation>
    <x:dataValidation type="list" sqref="F2:F67">
      <x:formula1>"g,mg,mcg,ng,mmol,UI"</x:formula1>
    </x:dataValidation>
    <x:dataValidation type="list" sqref="J2:J67">
      <x:formula1>"confirmé,à confirmer,sans objet"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0ebf68c7c240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83.33000183105469" hidden="0" customWidth="1"/>
  </x:cols>
  <x:sheetData>
    <x:row r="1" ht="42" customHeight="1">
      <x:c r="A1" s="15" t="str">
        <x:v>PediDoses — Tableau des ampoules</x:v>
      </x:c>
      <x:c r="B1" s="15" t="str">
        <x:v>Version v0.9 — 66 lignes, une par fiche et par voie.</x:v>
      </x:c>
    </x:row>
    <x:row r="2" ht="80" customHeight="1">
      <x:c r="A2" s="14" t="str">
        <x:v>1. Modifier</x:v>
      </x:c>
      <x:c r="B2" s="3" t="str">
        <x:v>Modifier l’onglet Ampoules. Conserver les identifiants et une ligne par fiche, même lorsque deux voies utilisent la même ampoule.</x:v>
      </x:c>
    </x:row>
    <x:row r="3" ht="80" customHeight="1">
      <x:c r="A3" s="14" t="str">
        <x:v>2. Quantité et volume</x:v>
      </x:c>
      <x:c r="B3" s="3" t="str">
        <x:v>Saisir la quantité totale contenue dans l’ampoule et son volume total en mL. Exemple : gentamicine = 40 mg dans 2 mL. La colonne H calcule quantité ÷ volume, sans arrondi.</x:v>
      </x:c>
    </x:row>
    <x:row r="4" ht="80" customHeight="1">
      <x:c r="A4" s="14" t="str">
        <x:v>3. Concentration déclarée</x:v>
      </x:c>
      <x:c r="B4" s="3" t="str">
        <x:v>Utiliser la colonne G seulement si la concentration est connue mais que le volume du contenant reste inconnu. Dès que quantité et volume sont complétés, vider G ou vérifier qu’elle concorde.</x:v>
      </x:c>
    </x:row>
    <x:row r="5" ht="80" customHeight="1">
      <x:c r="A5" s="14" t="str">
        <x:v>4. Unités</x:v>
      </x:c>
      <x:c r="B5" s="3" t="str">
        <x:v>Les concentrations G et H s’expriment dans l’unité de F par mL. Quantité en g, mg, mcg, ng, mmol ou UI. Les unités et les nombres sont dans des colonnes distinctes.</x:v>
      </x:c>
    </x:row>
    <x:row r="6" ht="80" customHeight="1">
      <x:c r="A6" s="14" t="str">
        <x:v>5. Poudres et produits sanguins</x:v>
      </x:c>
      <x:c r="B6" s="3" t="str">
        <x:v>Pour une poudre, renseigner la quantité par flacon ; laisser le volume vide tant que la reconstitution n’est pas définie. Les antibiotiques restent calculés en mg par dose. Les gestes électriques et consignes n’ont pas d’ampoule.</x:v>
      </x:c>
    </x:row>
    <x:row r="7" ht="80" customHeight="1">
      <x:c r="A7" s="14" t="str">
        <x:v>6. Importer dans PediDoses</x:v>
      </x:c>
      <x:c r="B7" s="3" t="str">
        <x:v>Depuis l’onglet Ampoules : Fichier → Télécharger → Valeurs séparées par des virgules (.csv, feuille active). Dans PediDoses : Ampoules → Importer le CSV → vérifier les changements → Appliquer sur cet appareil.</x:v>
      </x:c>
    </x:row>
    <x:row r="8" ht="80" customHeight="1">
      <x:c r="A8" s="14" t="str">
        <x:v>7. Portée des changements</x:v>
      </x:c>
      <x:c r="B8" s="3" t="str">
        <x:v>L’import met à jour les présentations, concentrations et volumes de prélèvement sur cet appareil. Les quantités et volumes finaux des dilutions préparées restent ceux du protocole ; les posologies ne sont pas modifiées. Importer le même CSV sur chaque appareil.</x:v>
      </x:c>
    </x:row>
    <x:row r="9" ht="80" customHeight="1">
      <x:c r="A9" s="14" t="str">
        <x:v>8. Statut et questions</x:v>
      </x:c>
      <x:c r="B9" s="3" t="str">
        <x:v>Le statut concerne la présentation embarquée. « confirmé » ne vaut pas validation clinique de l’ensemble du protocole. Les questions de dose, dilution et administration restent dans chaque fiche. Les données absentes sont laissées vides.</x:v>
      </x:c>
    </x:row>
    <x:row r="10" ht="80" customHeight="1">
      <x:c r="A10" s="14" t="str">
        <x:v>9. Sulfate de magnésium</x:v>
      </x:c>
      <x:c r="B10" s="3" t="str">
        <x:v>Sulfate de magnésium 15 % confirmé : 1,5 g dans 10 mL (150 mg/mL). Le volume à prélever est calculé ; la dilution finale reste à préciser.</x:v>
      </x:c>
    </x:row>
    <x:row r="11" ht="80" customHeight="1">
      <x:c r="A11" s="14" t="str">
        <x:v>10. Insuline et glucose</x:v>
      </x:c>
      <x:c r="B11" s="3" t="str">
        <x:v>Insuline rapide : 0,1 UI/kg, maximum 10 UI. G10 % : 5 mL/kg, maximum 250 mL. Administration sur 30 min. Les plafonds sont indépendants ; la concentration de l’insuline reste à renseigner pour calculer son prélèvement.</x:v>
      </x:c>
    </x:row>
    <x:row r="12" ht="80" customHeight="1">
      <x:c r="A12" s="14" t="str">
        <x:v>11. Triphosadénine</x:v>
      </x:c>
      <x:c r="B12" s="3" t="str">
        <x:v>1re dose : 1 mg/kg, maximum 10 mg. 2e dose : 2 mg/kg, maximum 20 mg. Modalités IV à préciser.</x:v>
      </x:c>
    </x:row>
    <x:row r="13" ht="80" customHeight="1">
      <x:c r="A13" s="14" t="str">
        <x:v>Légende</x:v>
      </x:c>
      <x:c r="B13" s="3" t="str">
        <x:v>Jaune pâle : valeurs à renseigner. Gris : concentration calculée. Orange : présentation à confirmer. Les filtres permettent de retrouver chaque médicament ou statut.</x:v>
      </x:c>
    </x:row>
  </x:sheetData>
  <x:pageMargins left="0.7" right="0.7" top="0.75" bottom="0.75" header="0.3" footer="0.3"/>
</x:worksheet>
</file>